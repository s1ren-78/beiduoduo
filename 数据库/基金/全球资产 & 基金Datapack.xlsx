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写在前面" sheetId="2" r:id="rId5"/>
    <sheet name="版本更新" sheetId="3" r:id="rId6"/>
    <sheet name="数据源list" sheetId="4" r:id="rId7"/>
    <sheet name="全球资产占比" sheetId="5" r:id="rId8"/>
    <sheet name="退出" sheetId="6" r:id="rId9"/>
    <sheet name="一级市场数据" sheetId="7" r:id="rId10"/>
    <sheet name="VC市场数据" sheetId="8" r:id="rId11"/>
    <sheet name="FO数据" sheetId="9" r:id="rId12"/>
    <sheet name="捐赠基金" sheetId="10" r:id="rId13"/>
    <sheet name="直投公司" sheetId="11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<sst xmlns="http://schemas.openxmlformats.org/spreadsheetml/2006/main" count="142" uniqueCount="142">
  <si>
    <t xml:space="preserve">  </t>
  </si>
  <si>
    <t/>
    <r>
      <rPr>
        <b/>
        <sz val="9.75"/>
        <color rgb="FF000000"/>
        <rFont val="Calibri"/>
        <family val="2"/>
      </rPr>
      <t>3,537</t>
    </r>
    <r>
      <t xml:space="preserve"> (3 月 31 日)</t>
    </r>
  </si>
  <si>
    <t/>
    <r>
      <rPr>
        <sz val="9"/>
        <color rgb="FFF54A45"/>
        <rFont val="Calibri"/>
        <family val="2"/>
      </rPr>
      <t>7.93%</t>
    </r>
  </si>
  <si>
    <t/>
    <r>
      <rPr>
        <sz val="9"/>
        <color rgb="FFF54A45"/>
        <rFont val="Calibri"/>
        <family val="2"/>
      </rPr>
      <t>40.83%</t>
    </r>
  </si>
  <si>
    <t/>
    <r>
      <rPr>
        <sz val="9"/>
        <color rgb="FFF54A45"/>
        <rFont val="Calibri"/>
        <family val="2"/>
      </rPr>
      <t>26.54%</t>
    </r>
  </si>
  <si>
    <t/>
    <r>
      <rPr>
        <sz val="9"/>
        <color rgb="FFF54A45"/>
        <rFont val="Calibri"/>
        <family val="2"/>
      </rPr>
      <t>16.84%</t>
    </r>
  </si>
  <si>
    <t/>
    <r>
      <rPr>
        <sz val="9"/>
        <color rgb="FFF54A45"/>
        <rFont val="Calibri"/>
        <family val="2"/>
      </rPr>
      <t>3.58%</t>
    </r>
  </si>
  <si>
    <t/>
    <r>
      <rPr>
        <sz val="9"/>
        <color rgb="FF000000"/>
        <rFont val="Calibri"/>
        <family val="2"/>
      </rPr>
      <t>70</t>
    </r>
  </si>
  <si>
    <t/>
    <r>
      <rPr>
        <sz val="9"/>
        <color rgb="FF000000"/>
        <rFont val="Calibri"/>
        <family val="2"/>
      </rPr>
      <t>8.91%</t>
    </r>
  </si>
  <si>
    <t/>
    <r>
      <rPr>
        <sz val="9"/>
        <color rgb="FF000000"/>
        <rFont val="Calibri"/>
        <family val="2"/>
      </rPr>
      <t>39</t>
    </r>
  </si>
  <si>
    <t/>
    <r>
      <rPr>
        <sz val="9"/>
        <color rgb="FF000000"/>
        <rFont val="Calibri"/>
        <family val="2"/>
      </rPr>
      <t>-16.62%</t>
    </r>
  </si>
  <si>
    <t/>
    <r>
      <rPr>
        <sz val="9"/>
        <color rgb="FF000000"/>
        <rFont val="Calibri"/>
        <family val="2"/>
      </rPr>
      <t>12.53%</t>
    </r>
  </si>
  <si>
    <t/>
    <r>
      <rPr>
        <sz val="9"/>
        <color rgb="FF000000"/>
        <rFont val="Calibri"/>
        <family val="2"/>
      </rPr>
      <t>1.40%</t>
    </r>
  </si>
  <si>
    <t/>
    <r>
      <rPr>
        <sz val="9"/>
        <color rgb="FF000000"/>
        <rFont val="Calibri"/>
        <family val="2"/>
      </rPr>
      <t>-6.40%</t>
    </r>
  </si>
  <si>
    <t/>
    <r>
      <rPr>
        <sz val="9"/>
        <color rgb="FF000000"/>
        <rFont val="Calibri"/>
        <family val="2"/>
      </rPr>
      <t>28.86%</t>
    </r>
  </si>
  <si>
    <t/>
    <r>
      <rPr>
        <sz val="9"/>
        <color rgb="FF000000"/>
        <rFont val="Calibri"/>
        <family val="2"/>
      </rPr>
      <t>3.90%</t>
    </r>
  </si>
  <si>
    <t/>
    <r>
      <rPr>
        <sz val="9"/>
        <color rgb="FF000000"/>
        <rFont val="Calibri"/>
        <family val="2"/>
      </rPr>
      <t>37</t>
    </r>
  </si>
  <si>
    <t/>
    <r>
      <rPr>
        <sz val="9"/>
        <color rgb="FF000000"/>
        <rFont val="Calibri"/>
        <family val="2"/>
      </rPr>
      <t>19.80%</t>
    </r>
  </si>
  <si>
    <t/>
    <r>
      <rPr>
        <sz val="9"/>
        <color rgb="FF000000"/>
        <rFont val="Calibri"/>
        <family val="2"/>
      </rPr>
      <t>-4.30%</t>
    </r>
  </si>
  <si>
    <t/>
    <r>
      <rPr>
        <sz val="9"/>
        <color rgb="FF000000"/>
        <rFont val="Calibri"/>
        <family val="2"/>
      </rPr>
      <t>9.90%</t>
    </r>
  </si>
  <si>
    <t/>
    <r>
      <rPr>
        <sz val="9"/>
        <color rgb="FF000000"/>
        <rFont val="Calibri"/>
        <family val="2"/>
      </rPr>
      <t>29.81%</t>
    </r>
  </si>
  <si>
    <t/>
    <r>
      <rPr>
        <sz val="9"/>
        <color rgb="FF000000"/>
        <rFont val="Calibri"/>
        <family val="2"/>
      </rPr>
      <t>10.12%</t>
    </r>
  </si>
  <si>
    <t/>
    <r>
      <rPr>
        <sz val="9"/>
        <color rgb="FF000000"/>
        <rFont val="Calibri"/>
        <family val="2"/>
      </rPr>
      <t>-0.38%</t>
    </r>
  </si>
  <si>
    <t/>
    <r>
      <rPr>
        <sz val="9"/>
        <color rgb="FF000000"/>
        <rFont val="Calibri"/>
        <family val="2"/>
      </rPr>
      <t>88</t>
    </r>
  </si>
  <si>
    <t/>
    <r>
      <rPr>
        <sz val="9"/>
        <color rgb="FF000000"/>
        <rFont val="Calibri"/>
        <family val="2"/>
      </rPr>
      <t>20.61%</t>
    </r>
  </si>
  <si>
    <t/>
    <r>
      <rPr>
        <sz val="9"/>
        <color rgb="FF000000"/>
        <rFont val="Calibri"/>
        <family val="2"/>
      </rPr>
      <t>-12.59%</t>
    </r>
  </si>
  <si>
    <t/>
    <r>
      <rPr>
        <sz val="9"/>
        <color rgb="FF000000"/>
        <rFont val="Calibri"/>
        <family val="2"/>
      </rPr>
      <t>31.59%</t>
    </r>
  </si>
  <si>
    <t/>
    <r>
      <rPr>
        <sz val="9"/>
        <color rgb="FF000000"/>
        <rFont val="Calibri"/>
        <family val="2"/>
      </rPr>
      <t>9.05%</t>
    </r>
  </si>
  <si>
    <t/>
    <r>
      <rPr>
        <sz val="9"/>
        <color rgb="FF000000"/>
        <rFont val="Calibri"/>
        <family val="2"/>
      </rPr>
      <t>22.62%</t>
    </r>
  </si>
  <si>
    <t/>
    <r>
      <rPr>
        <sz val="9"/>
        <color rgb="FF000000"/>
        <rFont val="Calibri"/>
        <family val="2"/>
      </rPr>
      <t>1.59%</t>
    </r>
  </si>
  <si>
    <t/>
    <r>
      <rPr>
        <sz val="9"/>
        <color rgb="FF000000"/>
        <rFont val="Calibri"/>
        <family val="2"/>
      </rPr>
      <t>64</t>
    </r>
  </si>
  <si>
    <t/>
    <r>
      <rPr>
        <sz val="9"/>
        <color rgb="FF000000"/>
        <rFont val="Calibri"/>
        <family val="2"/>
      </rPr>
      <t>16.25%</t>
    </r>
  </si>
  <si>
    <t/>
    <r>
      <rPr>
        <sz val="9"/>
        <color rgb="FF000000"/>
        <rFont val="Calibri"/>
        <family val="2"/>
      </rPr>
      <t>36.78%</t>
    </r>
  </si>
  <si>
    <t/>
    <r>
      <rPr>
        <sz val="9"/>
        <color rgb="FF000000"/>
        <rFont val="Calibri"/>
        <family val="2"/>
      </rPr>
      <t>24.64%</t>
    </r>
  </si>
  <si>
    <t/>
    <r>
      <rPr>
        <sz val="9"/>
        <color rgb="FF000000"/>
        <rFont val="Calibri"/>
        <family val="2"/>
      </rPr>
      <t>63</t>
    </r>
  </si>
  <si>
    <t/>
    <r>
      <rPr>
        <sz val="9"/>
        <color rgb="FF000000"/>
        <rFont val="Calibri"/>
        <family val="2"/>
      </rPr>
      <t>17.00%</t>
    </r>
  </si>
  <si>
    <t/>
    <r>
      <rPr>
        <sz val="9"/>
        <color rgb="FF000000"/>
        <rFont val="Calibri"/>
        <family val="2"/>
      </rPr>
      <t>10.90%</t>
    </r>
  </si>
  <si>
    <t/>
    <r>
      <rPr>
        <sz val="9"/>
        <color rgb="FF000000"/>
        <rFont val="Calibri"/>
        <family val="2"/>
      </rPr>
      <t>4.69%</t>
    </r>
  </si>
  <si>
    <t/>
    <r>
      <rPr>
        <sz val="9"/>
        <color rgb="FF000000"/>
        <rFont val="Calibri"/>
        <family val="2"/>
      </rPr>
      <t>24.75%</t>
    </r>
  </si>
  <si>
    <t/>
    <r>
      <rPr>
        <sz val="9"/>
        <color rgb="FF000000"/>
        <rFont val="Calibri"/>
        <family val="2"/>
      </rPr>
      <t>0.80%</t>
    </r>
  </si>
  <si>
    <t/>
    <r>
      <rPr>
        <sz val="9"/>
        <color rgb="FF000000"/>
        <rFont val="Calibri"/>
        <family val="2"/>
      </rPr>
      <t>-9.44%</t>
    </r>
  </si>
  <si>
    <t/>
    <r>
      <rPr>
        <sz val="9"/>
        <color rgb="FF000000"/>
        <rFont val="Calibri"/>
        <family val="2"/>
      </rPr>
      <t>83</t>
    </r>
  </si>
  <si>
    <t/>
    <r>
      <rPr>
        <sz val="9"/>
        <color rgb="FF000000"/>
        <rFont val="Calibri"/>
        <family val="2"/>
      </rPr>
      <t>16.95%</t>
    </r>
  </si>
  <si>
    <t/>
    <r>
      <rPr>
        <sz val="9"/>
        <color rgb="FF000000"/>
        <rFont val="Calibri"/>
        <family val="2"/>
      </rPr>
      <t>10.66%</t>
    </r>
  </si>
  <si>
    <t/>
    <r>
      <rPr>
        <sz val="9"/>
        <color rgb="FF000000"/>
        <rFont val="Calibri"/>
        <family val="2"/>
      </rPr>
      <t>3.70%</t>
    </r>
  </si>
  <si>
    <t/>
    <r>
      <rPr>
        <sz val="9"/>
        <color rgb="FF000000"/>
        <rFont val="Calibri"/>
        <family val="2"/>
      </rPr>
      <t>71</t>
    </r>
  </si>
  <si>
    <t/>
    <r>
      <rPr>
        <sz val="9"/>
        <color rgb="FF000000"/>
        <rFont val="Calibri"/>
        <family val="2"/>
      </rPr>
      <t>7.40%</t>
    </r>
  </si>
  <si>
    <t/>
    <r>
      <rPr>
        <sz val="9"/>
        <color rgb="FF000000"/>
        <rFont val="Calibri"/>
        <family val="2"/>
      </rPr>
      <t>-2.63%</t>
    </r>
  </si>
  <si>
    <t/>
    <r>
      <rPr>
        <sz val="9"/>
        <color rgb="FF000000"/>
        <rFont val="Calibri"/>
        <family val="2"/>
      </rPr>
      <t>19.50%</t>
    </r>
  </si>
  <si>
    <t/>
    <r>
      <rPr>
        <sz val="9"/>
        <color rgb="FF000000"/>
        <rFont val="Calibri"/>
        <family val="2"/>
      </rPr>
      <t>-12.75%</t>
    </r>
  </si>
  <si>
    <t/>
    <r>
      <rPr>
        <u/>
        <sz val="9.75"/>
        <color theme="10"/>
        <rFont val="Calibri"/>
        <family val="2"/>
      </rPr>
      <t>JD.com</t>
    </r>
  </si>
  <si>
    <t/>
    <r>
      <rPr>
        <sz val="9"/>
        <color rgb="FF000000"/>
        <rFont val="Calibri"/>
        <family val="2"/>
      </rPr>
      <t>-17.15%</t>
    </r>
  </si>
  <si>
    <t/>
    <r>
      <rPr>
        <sz val="9"/>
        <color rgb="FF000000"/>
        <rFont val="Calibri"/>
        <family val="2"/>
      </rPr>
      <t>36</t>
    </r>
  </si>
  <si>
    <t/>
    <r>
      <rPr>
        <sz val="9"/>
        <color rgb="FF000000"/>
        <rFont val="Calibri"/>
        <family val="2"/>
      </rPr>
      <t>14.94%</t>
    </r>
  </si>
  <si>
    <t/>
    <r>
      <rPr>
        <sz val="9"/>
        <color rgb="FF000000"/>
        <rFont val="Calibri"/>
        <family val="2"/>
      </rPr>
      <t>6.73%</t>
    </r>
  </si>
  <si>
    <t/>
    <r>
      <rPr>
        <sz val="9"/>
        <color rgb="FF000000"/>
        <rFont val="Calibri"/>
        <family val="2"/>
      </rPr>
      <t>0.85%</t>
    </r>
  </si>
  <si>
    <t/>
    <r>
      <rPr>
        <sz val="9"/>
        <color rgb="FF000000"/>
        <rFont val="Calibri"/>
        <family val="2"/>
      </rPr>
      <t>-9.86%</t>
    </r>
  </si>
  <si>
    <t/>
    <r>
      <rPr>
        <sz val="9"/>
        <color rgb="FF000000"/>
        <rFont val="Calibri"/>
        <family val="2"/>
      </rPr>
      <t>12.30%</t>
    </r>
  </si>
  <si>
    <t/>
    <r>
      <rPr>
        <sz val="9"/>
        <color rgb="FF000000"/>
        <rFont val="Calibri"/>
        <family val="2"/>
      </rPr>
      <t>0.50%</t>
    </r>
  </si>
  <si>
    <t/>
    <r>
      <rPr>
        <sz val="9"/>
        <color rgb="FF000000"/>
        <rFont val="Calibri"/>
        <family val="2"/>
      </rPr>
      <t>22.16%</t>
    </r>
  </si>
  <si>
    <t/>
    <r>
      <rPr>
        <sz val="9"/>
        <color rgb="FF000000"/>
        <rFont val="Calibri"/>
        <family val="2"/>
      </rPr>
      <t>-5.64%</t>
    </r>
  </si>
  <si>
    <t/>
    <r>
      <rPr>
        <sz val="9"/>
        <color rgb="FF000000"/>
        <rFont val="Calibri"/>
        <family val="2"/>
      </rPr>
      <t>-13.02%</t>
    </r>
  </si>
  <si>
    <t/>
    <r>
      <rPr>
        <sz val="9"/>
        <color rgb="FF000000"/>
        <rFont val="Calibri"/>
        <family val="2"/>
      </rPr>
      <t>129</t>
    </r>
  </si>
  <si>
    <t/>
    <r>
      <rPr>
        <sz val="9"/>
        <color rgb="FF000000"/>
        <rFont val="Calibri"/>
        <family val="2"/>
      </rPr>
      <t>42.08%</t>
    </r>
  </si>
  <si>
    <t/>
    <r>
      <rPr>
        <sz val="9"/>
        <color rgb="FF000000"/>
        <rFont val="Calibri"/>
        <family val="2"/>
      </rPr>
      <t>26.00%</t>
    </r>
  </si>
  <si>
    <t/>
    <r>
      <rPr>
        <sz val="9"/>
        <color rgb="FF000000"/>
        <rFont val="Calibri"/>
        <family val="2"/>
      </rPr>
      <t>2.20%</t>
    </r>
  </si>
  <si>
    <t/>
    <r>
      <rPr>
        <sz val="9"/>
        <color rgb="FF000000"/>
        <rFont val="Calibri"/>
        <family val="2"/>
      </rPr>
      <t>-6.52%</t>
    </r>
  </si>
  <si>
    <t/>
    <r>
      <rPr>
        <sz val="9"/>
        <color rgb="FF000000"/>
        <rFont val="Calibri"/>
        <family val="2"/>
      </rPr>
      <t>49</t>
    </r>
  </si>
  <si>
    <t/>
    <r>
      <rPr>
        <sz val="9"/>
        <color rgb="FF000000"/>
        <rFont val="Calibri"/>
        <family val="2"/>
      </rPr>
      <t>11.50%</t>
    </r>
  </si>
  <si>
    <t/>
    <r>
      <rPr>
        <sz val="9"/>
        <color rgb="FF000000"/>
        <rFont val="Calibri"/>
        <family val="2"/>
      </rPr>
      <t>-1.93%</t>
    </r>
  </si>
  <si>
    <t/>
    <r>
      <rPr>
        <sz val="9"/>
        <color rgb="FF000000"/>
        <rFont val="Calibri"/>
        <family val="2"/>
      </rPr>
      <t>5.42%</t>
    </r>
  </si>
  <si>
    <t/>
    <r>
      <rPr>
        <sz val="9"/>
        <color rgb="FF000000"/>
        <rFont val="Calibri"/>
        <family val="2"/>
      </rPr>
      <t>32.59%</t>
    </r>
  </si>
  <si>
    <t/>
    <r>
      <rPr>
        <sz val="9"/>
        <color rgb="FF000000"/>
        <rFont val="Calibri"/>
        <family val="2"/>
      </rPr>
      <t>22.96%</t>
    </r>
  </si>
  <si>
    <t/>
    <r>
      <rPr>
        <sz val="9"/>
        <color rgb="FF000000"/>
        <rFont val="Calibri"/>
        <family val="2"/>
      </rPr>
      <t>12.96%</t>
    </r>
  </si>
  <si>
    <t/>
    <r>
      <rPr>
        <sz val="9"/>
        <color rgb="FF000000"/>
        <rFont val="Calibri"/>
        <family val="2"/>
      </rPr>
      <t>-0.30%</t>
    </r>
  </si>
  <si>
    <t/>
    <r>
      <rPr>
        <sz val="9"/>
        <color rgb="FF000000"/>
        <rFont val="Calibri"/>
        <family val="2"/>
      </rPr>
      <t>89</t>
    </r>
  </si>
  <si>
    <t/>
    <r>
      <rPr>
        <sz val="9"/>
        <color rgb="FF000000"/>
        <rFont val="Calibri"/>
        <family val="2"/>
      </rPr>
      <t>10.47%</t>
    </r>
  </si>
  <si>
    <t/>
    <r>
      <rPr>
        <sz val="9"/>
        <color rgb="FF000000"/>
        <rFont val="Calibri"/>
        <family val="2"/>
      </rPr>
      <t>-10.26%</t>
    </r>
  </si>
  <si>
    <t/>
    <r>
      <rPr>
        <sz val="9"/>
        <color rgb="FF000000"/>
        <rFont val="Calibri"/>
        <family val="2"/>
      </rPr>
      <t>24.49%</t>
    </r>
  </si>
  <si>
    <t/>
    <r>
      <rPr>
        <sz val="9"/>
        <color rgb="FF000000"/>
        <rFont val="Calibri"/>
        <family val="2"/>
      </rPr>
      <t>-19.85%</t>
    </r>
  </si>
  <si>
    <t/>
    <r>
      <rPr>
        <sz val="9"/>
        <color rgb="FF000000"/>
        <rFont val="Calibri"/>
        <family val="2"/>
      </rPr>
      <t>18.92%</t>
    </r>
  </si>
  <si>
    <t/>
    <r>
      <rPr>
        <sz val="9"/>
        <color rgb="FF000000"/>
        <rFont val="Calibri"/>
        <family val="2"/>
      </rPr>
      <t>10.79%</t>
    </r>
  </si>
  <si>
    <t/>
    <r>
      <rPr>
        <sz val="9"/>
        <color rgb="FF000000"/>
        <rFont val="Calibri"/>
        <family val="2"/>
      </rPr>
      <t>-11.89%</t>
    </r>
  </si>
  <si>
    <t/>
    <r>
      <rPr>
        <sz val="9"/>
        <color rgb="FF000000"/>
        <rFont val="Calibri"/>
        <family val="2"/>
      </rPr>
      <t>5.43%</t>
    </r>
  </si>
  <si>
    <t/>
    <r>
      <rPr>
        <sz val="9"/>
        <color rgb="FF000000"/>
        <rFont val="Calibri"/>
        <family val="2"/>
      </rPr>
      <t>-6.05%</t>
    </r>
  </si>
  <si>
    <t/>
    <r>
      <rPr>
        <sz val="9"/>
        <color rgb="FF000000"/>
        <rFont val="Calibri"/>
        <family val="2"/>
      </rPr>
      <t>82</t>
    </r>
  </si>
  <si>
    <t/>
    <r>
      <rPr>
        <sz val="9"/>
        <color rgb="FF000000"/>
        <rFont val="Calibri"/>
        <family val="2"/>
      </rPr>
      <t>4.70%</t>
    </r>
  </si>
  <si>
    <t/>
    <r>
      <rPr>
        <sz val="9"/>
        <color rgb="FF000000"/>
        <rFont val="Calibri"/>
        <family val="2"/>
      </rPr>
      <t>28.00%</t>
    </r>
  </si>
  <si>
    <t/>
    <r>
      <rPr>
        <sz val="9"/>
        <color rgb="FF000000"/>
        <rFont val="Calibri"/>
        <family val="2"/>
      </rPr>
      <t>81</t>
    </r>
  </si>
  <si>
    <t/>
    <r>
      <rPr>
        <sz val="9"/>
        <color rgb="FF000000"/>
        <rFont val="Calibri"/>
        <family val="2"/>
      </rPr>
      <t>-2.91%</t>
    </r>
  </si>
  <si>
    <t/>
    <r>
      <rPr>
        <sz val="9"/>
        <color rgb="FF000000"/>
        <rFont val="Calibri"/>
        <family val="2"/>
      </rPr>
      <t>20.10%</t>
    </r>
  </si>
  <si>
    <t/>
    <r>
      <rPr>
        <sz val="9"/>
        <color rgb="FF000000"/>
        <rFont val="Calibri"/>
        <family val="2"/>
      </rPr>
      <t>9.50%</t>
    </r>
  </si>
  <si>
    <t/>
    <r>
      <rPr>
        <sz val="9"/>
        <color rgb="FF000000"/>
        <rFont val="Calibri"/>
        <family val="2"/>
      </rPr>
      <t>2.10%</t>
    </r>
  </si>
  <si>
    <t/>
    <r>
      <rPr>
        <sz val="9"/>
        <color rgb="FF000000"/>
        <rFont val="Calibri"/>
        <family val="2"/>
      </rPr>
      <t>16.91%</t>
    </r>
  </si>
  <si>
    <t/>
    <r>
      <rPr>
        <sz val="9"/>
        <color rgb="FF000000"/>
        <rFont val="Calibri"/>
        <family val="2"/>
      </rPr>
      <t>53</t>
    </r>
  </si>
  <si>
    <t/>
    <r>
      <rPr>
        <sz val="9"/>
        <color rgb="FF000000"/>
        <rFont val="Calibri"/>
        <family val="2"/>
      </rPr>
      <t>38.46%</t>
    </r>
  </si>
  <si>
    <t/>
    <r>
      <rPr>
        <sz val="9"/>
        <color rgb="FF000000"/>
        <rFont val="Calibri"/>
        <family val="2"/>
      </rPr>
      <t>23.33%</t>
    </r>
  </si>
  <si>
    <t/>
    <r>
      <rPr>
        <sz val="9"/>
        <color rgb="FF000000"/>
        <rFont val="Calibri"/>
        <family val="2"/>
      </rPr>
      <t>-9.06%</t>
    </r>
  </si>
  <si>
    <t/>
    <r>
      <rPr>
        <sz val="9"/>
        <color rgb="FF000000"/>
        <rFont val="Calibri"/>
        <family val="2"/>
      </rPr>
      <t>15.15%</t>
    </r>
  </si>
  <si>
    <t/>
    <r>
      <rPr>
        <sz val="9"/>
        <color rgb="FF000000"/>
        <rFont val="Calibri"/>
        <family val="2"/>
      </rPr>
      <t>-18.36%</t>
    </r>
  </si>
  <si>
    <t/>
    <r>
      <rPr>
        <sz val="9"/>
        <color rgb="FF000000"/>
        <rFont val="Calibri"/>
        <family val="2"/>
      </rPr>
      <t>44</t>
    </r>
  </si>
  <si>
    <t/>
    <r>
      <rPr>
        <sz val="9"/>
        <color rgb="FF000000"/>
        <rFont val="Calibri"/>
        <family val="2"/>
      </rPr>
      <t>7.57%</t>
    </r>
  </si>
  <si>
    <t/>
    <r>
      <rPr>
        <sz val="9"/>
        <color rgb="FF000000"/>
        <rFont val="Calibri"/>
        <family val="2"/>
      </rPr>
      <t>1.38%</t>
    </r>
  </si>
  <si>
    <t/>
    <r>
      <rPr>
        <sz val="9"/>
        <color rgb="FF000000"/>
        <rFont val="Calibri"/>
        <family val="2"/>
      </rPr>
      <t>36.40%</t>
    </r>
  </si>
  <si>
    <t/>
    <r>
      <rPr>
        <sz val="9"/>
        <color rgb="FF000000"/>
        <rFont val="Calibri"/>
        <family val="2"/>
      </rPr>
      <t>16.10%</t>
    </r>
  </si>
  <si>
    <t/>
    <r>
      <rPr>
        <sz val="9"/>
        <color rgb="FF000000"/>
        <rFont val="Calibri"/>
        <family val="2"/>
      </rPr>
      <t>1.80%</t>
    </r>
  </si>
  <si>
    <t/>
    <r>
      <rPr>
        <sz val="9"/>
        <color rgb="FF000000"/>
        <rFont val="Calibri"/>
        <family val="2"/>
      </rPr>
      <t>9.20%</t>
    </r>
  </si>
  <si>
    <t/>
    <r>
      <rPr>
        <sz val="9"/>
        <color rgb="FF000000"/>
        <rFont val="Calibri"/>
        <family val="2"/>
      </rPr>
      <t>24.36%</t>
    </r>
  </si>
  <si>
    <t/>
    <r>
      <rPr>
        <sz val="9"/>
        <color rgb="FF000000"/>
        <rFont val="Calibri"/>
        <family val="2"/>
      </rPr>
      <t>11.73%</t>
    </r>
  </si>
  <si>
    <t/>
    <r>
      <rPr>
        <sz val="9"/>
        <color rgb="FF000000"/>
        <rFont val="Calibri"/>
        <family val="2"/>
      </rPr>
      <t>73</t>
    </r>
  </si>
  <si>
    <t/>
    <r>
      <rPr>
        <sz val="9"/>
        <color rgb="FF000000"/>
        <rFont val="Calibri"/>
        <family val="2"/>
      </rPr>
      <t>38.72%</t>
    </r>
  </si>
  <si>
    <t/>
    <r>
      <rPr>
        <sz val="9"/>
        <color rgb="FF000000"/>
        <rFont val="Calibri"/>
        <family val="2"/>
      </rPr>
      <t>29.25%</t>
    </r>
  </si>
  <si>
    <t/>
    <r>
      <rPr>
        <sz val="9"/>
        <color rgb="FF000000"/>
        <rFont val="Calibri"/>
        <family val="2"/>
      </rPr>
      <t>5.63%</t>
    </r>
  </si>
  <si>
    <t/>
    <r>
      <rPr>
        <sz val="9"/>
        <color rgb="FF000000"/>
        <rFont val="Calibri"/>
        <family val="2"/>
      </rPr>
      <t>19.07%</t>
    </r>
  </si>
  <si>
    <t/>
    <r>
      <rPr>
        <sz val="9"/>
        <color rgb="FF000000"/>
        <rFont val="Calibri"/>
        <family val="2"/>
      </rPr>
      <t>-5.60%</t>
    </r>
  </si>
  <si>
    <t/>
    <r>
      <rPr>
        <sz val="9"/>
        <color rgb="FF000000"/>
        <rFont val="Calibri"/>
        <family val="2"/>
      </rPr>
      <t>10.48%</t>
    </r>
  </si>
  <si>
    <t/>
    <r>
      <rPr>
        <sz val="9"/>
        <color rgb="FF000000"/>
        <rFont val="Calibri"/>
        <family val="2"/>
      </rPr>
      <t>-0.86%</t>
    </r>
  </si>
  <si>
    <t/>
    <r>
      <rPr>
        <sz val="9"/>
        <color rgb="FF000000"/>
        <rFont val="Calibri"/>
        <family val="2"/>
      </rPr>
      <t>119</t>
    </r>
  </si>
  <si>
    <t/>
    <r>
      <rPr>
        <sz val="9"/>
        <color rgb="FF000000"/>
        <rFont val="Calibri"/>
        <family val="2"/>
      </rPr>
      <t>4.65%</t>
    </r>
  </si>
  <si>
    <t/>
    <r>
      <rPr>
        <sz val="9"/>
        <color rgb="FF000000"/>
        <rFont val="Calibri"/>
        <family val="2"/>
      </rPr>
      <t>-13.75%</t>
    </r>
  </si>
  <si>
    <t/>
    <r>
      <rPr>
        <sz val="9"/>
        <color rgb="FF000000"/>
        <rFont val="Calibri"/>
        <family val="2"/>
      </rPr>
      <t>-2.30%</t>
    </r>
  </si>
  <si>
    <t/>
    <r>
      <rPr>
        <sz val="9"/>
        <color rgb="FF000000"/>
        <rFont val="Calibri"/>
        <family val="2"/>
      </rPr>
      <t>-10.84%</t>
    </r>
  </si>
  <si>
    <t/>
    <r>
      <rPr>
        <sz val="9"/>
        <color rgb="FF000000"/>
        <rFont val="Calibri"/>
        <family val="2"/>
      </rPr>
      <t>9.70%</t>
    </r>
  </si>
  <si>
    <t/>
    <r>
      <rPr>
        <sz val="9"/>
        <color rgb="FF000000"/>
        <rFont val="Calibri"/>
        <family val="2"/>
      </rPr>
      <t>3.40%</t>
    </r>
  </si>
  <si>
    <t/>
    <r>
      <rPr>
        <sz val="9"/>
        <color rgb="FF000000"/>
        <rFont val="Calibri"/>
        <family val="2"/>
      </rPr>
      <t>57</t>
    </r>
  </si>
  <si>
    <t/>
    <r>
      <rPr>
        <sz val="9"/>
        <color rgb="FF000000"/>
        <rFont val="Calibri"/>
        <family val="2"/>
      </rPr>
      <t>13.45%</t>
    </r>
  </si>
  <si>
    <t/>
    <r>
      <rPr>
        <sz val="9"/>
        <color rgb="FFF54A45"/>
        <rFont val="Calibri"/>
        <family val="2"/>
      </rPr>
      <t>23.34%</t>
    </r>
  </si>
  <si>
    <t/>
    <r>
      <rPr>
        <sz val="9"/>
        <color rgb="FFF54A45"/>
        <rFont val="Calibri"/>
        <family val="2"/>
      </rPr>
      <t>2.78%</t>
    </r>
  </si>
  <si>
    <t/>
    <r>
      <rPr>
        <sz val="9"/>
        <color rgb="FFF54A45"/>
        <rFont val="Calibri"/>
        <family val="2"/>
      </rPr>
      <t xml:space="preserve">- 11.41%</t>
    </r>
  </si>
  <si>
    <t/>
    <r>
      <rPr>
        <sz val="9"/>
        <color rgb="FFF54A45"/>
        <rFont val="Calibri"/>
        <family val="2"/>
      </rPr>
      <t>-23.87%</t>
    </r>
  </si>
  <si>
    <t/>
    <r>
      <rPr>
        <sz val="9"/>
        <color rgb="FFF54A45"/>
        <rFont val="Calibri"/>
        <family val="2"/>
      </rPr>
      <t>-18.85%</t>
    </r>
  </si>
  <si>
    <t/>
    <r>
      <rPr>
        <sz val="9"/>
        <color rgb="FFF54A45"/>
        <rFont val="Calibri"/>
        <family val="2"/>
      </rPr>
      <t>17.60%</t>
    </r>
  </si>
  <si>
    <t/>
    <r>
      <rPr>
        <sz val="9"/>
        <color rgb="FFF54A45"/>
        <rFont val="Calibri"/>
        <family val="2"/>
      </rPr>
      <t>0.33%</t>
    </r>
  </si>
  <si>
    <t/>
    <r>
      <rPr>
        <sz val="9"/>
        <color rgb="FFF54A45"/>
        <rFont val="Calibri"/>
        <family val="2"/>
      </rPr>
      <t>9.55%</t>
    </r>
  </si>
  <si>
    <t/>
    <r>
      <rPr>
        <sz val="9"/>
        <color rgb="FFF54A45"/>
        <rFont val="Calibri"/>
        <family val="2"/>
      </rPr>
      <t>43.64%</t>
    </r>
  </si>
  <si>
    <t/>
    <r>
      <rPr>
        <sz val="9"/>
        <color rgb="FFF54A45"/>
        <rFont val="Calibri"/>
        <family val="2"/>
      </rPr>
      <t>29.79%</t>
    </r>
  </si>
  <si>
    <t/>
    <r>
      <rPr>
        <sz val="9"/>
        <color rgb="FF000000"/>
        <rFont val="Calibri"/>
        <family val="2"/>
      </rPr>
      <t>56</t>
    </r>
  </si>
  <si>
    <t/>
    <r>
      <rPr>
        <sz val="9"/>
        <color rgb="FF000000"/>
        <rFont val="Calibri"/>
        <family val="2"/>
      </rPr>
      <t>33.20%</t>
    </r>
  </si>
  <si>
    <t/>
    <r>
      <rPr>
        <sz val="9"/>
        <color rgb="FF000000"/>
        <rFont val="Calibri"/>
        <family val="2"/>
      </rPr>
      <t>4.77%</t>
    </r>
  </si>
  <si>
    <t/>
    <r>
      <rPr>
        <sz val="9"/>
        <color rgb="FF000000"/>
        <rFont val="Calibri"/>
        <family val="2"/>
      </rPr>
      <t>11.00%</t>
    </r>
  </si>
  <si>
    <t/>
    <r>
      <rPr>
        <sz val="9"/>
        <color rgb="FF000000"/>
        <rFont val="Calibri"/>
        <family val="2"/>
      </rPr>
      <t>24.02%</t>
    </r>
  </si>
  <si>
    <t/>
    <r>
      <rPr>
        <sz val="9"/>
        <color rgb="FF000000"/>
        <rFont val="Calibri"/>
        <family val="2"/>
      </rPr>
      <t>16.06%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</si>
</sst>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164" formatCode="yyyy/m/d"/>
    <numFmt numFmtId="165" formatCode="0.00%"/>
    <numFmt numFmtId="166" formatCode="0%"/>
    <numFmt numFmtId="167" formatCode="#,##0"/>
    <numFmt numFmtId="168" formatCode="$#,##0.00;[Red]($#,##0.00)"/>
    <numFmt numFmtId="169" formatCode="$#,##0.00;[Red]($#,##0.00)"/>
    <numFmt numFmtId="170" formatCode="$#,##0.00;[Red]($#,##0.00)"/>
    <numFmt numFmtId="171" formatCode="$#,##0.00;[Red]($#,##0.00)"/>
    <numFmt numFmtId="172" formatCode="$#,##0.00;[Red]($#,##0.00)"/>
    <numFmt numFmtId="173" formatCode="$#,##0.00;[Red]($#,##0.00)"/>
    <numFmt numFmtId="174" formatCode="$#,##0.00;[Red]($#,##0.00)"/>
    <numFmt numFmtId="175" formatCode="0.00%"/>
    <numFmt numFmtId="176" formatCode="0%"/>
    <numFmt numFmtId="177" formatCode="0%"/>
    <numFmt numFmtId="178" formatCode="$#,##0;[Red]($#,##0)"/>
    <numFmt numFmtId="179" formatCode="0%"/>
    <numFmt numFmtId="180" formatCode="0%"/>
    <numFmt numFmtId="181" formatCode="0%"/>
    <numFmt numFmtId="182" formatCode="0.00"/>
    <numFmt numFmtId="183" formatCode="$#,##0.00;[Red]($#,##0.00)"/>
    <numFmt numFmtId="184" formatCode="$#,##0.00;[Red]($#,##0.00)"/>
    <numFmt numFmtId="185" formatCode="$#,##0.00;[Red]($#,##0.00)"/>
    <numFmt numFmtId="186" formatCode="#,##0"/>
    <numFmt numFmtId="187" formatCode="#,##0"/>
    <numFmt numFmtId="188" formatCode="#,##0"/>
    <numFmt numFmtId="189" formatCode="#,##0"/>
    <numFmt numFmtId="190" formatCode="0_);(0)"/>
    <numFmt numFmtId="191" formatCode="0%"/>
    <numFmt numFmtId="192" formatCode="0%"/>
    <numFmt numFmtId="193" formatCode="0%"/>
    <numFmt numFmtId="194" formatCode="0%"/>
    <numFmt numFmtId="195" formatCode="0.0%"/>
    <numFmt numFmtId="196" formatCode="0%"/>
    <numFmt numFmtId="197" formatCode="#,##0"/>
    <numFmt numFmtId="198" formatCode="0.00%"/>
    <numFmt numFmtId="199" formatCode="#,##0"/>
    <numFmt numFmtId="200" formatCode="#,##0"/>
    <numFmt numFmtId="201" formatCode="m/d/yyyy"/>
    <numFmt numFmtId="202" formatCode="#,##0"/>
  </numFmts>
  <fonts count="1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51C38"/>
      <name val="Calibri"/>
      <family val="2"/>
      <scheme val="minor"/>
    </font>
    <font>
      <sz val="9"/>
      <color rgb="FFFFFFFF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F54A45"/>
      <name val="Calibri"/>
      <family val="2"/>
      <scheme val="minor"/>
    </font>
    <font>
      <sz val="24"/>
      <color rgb="FF59420F"/>
      <name val="Calibri"/>
      <family val="2"/>
      <scheme val="minor"/>
    </font>
    <font>
      <sz val="6"/>
      <color rgb="FF161615"/>
      <name val="Calibri"/>
      <family val="2"/>
      <scheme val="minor"/>
    </font>
    <font>
      <sz val="6"/>
      <color rgb="FFFFFFFF"/>
      <name val="Calibri"/>
      <family val="2"/>
      <scheme val="minor"/>
    </font>
    <font>
      <sz val="4.5"/>
      <color rgb="FF67655D"/>
      <name val="Calibri"/>
      <family val="2"/>
      <scheme val="minor"/>
    </font>
    <font>
      <sz val="6"/>
      <color rgb="FF000000"/>
      <name val="Calibri"/>
      <family val="2"/>
      <scheme val="minor"/>
    </font>
    <font>
      <sz val="15"/>
      <color rgb="FF405363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ED7D31"/>
        <bgColor/>
      </patternFill>
    </fill>
    <fill>
      <patternFill patternType="solid">
        <fgColor rgb="FFED7D31"/>
        <bgColor/>
      </patternFill>
    </fill>
    <fill>
      <patternFill patternType="solid">
        <fgColor rgb="FFED7D31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1D508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7F7F7"/>
        <bgColor/>
      </patternFill>
    </fill>
  </fills>
  <borders count="83">
    <border>
      <left/>
      <right/>
      <top/>
      <bottom/>
      <diagonal/>
    </border>
    <border>
      <left/>
      <right/>
      <top/>
      <bottom/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1C5C8"/>
      </right>
      <top/>
      <bottom style="thin">
        <color rgb="FFC1C5C8"/>
      </bottom>
      <diagonal/>
    </border>
    <border>
      <left/>
      <right style="thin">
        <color rgb="FFC1C5C8"/>
      </right>
      <top/>
      <bottom style="thin">
        <color rgb="FFC1C5C8"/>
      </bottom>
      <diagonal/>
    </border>
    <border>
      <left/>
      <right style="thin">
        <color rgb="FFC1C5C8"/>
      </right>
      <top/>
      <bottom style="thin">
        <color rgb="FFC1C5C8"/>
      </bottom>
      <diagonal/>
    </border>
    <border>
      <left/>
      <right/>
      <top/>
      <bottom/>
      <diagonal/>
    </border>
    <border>
      <left/>
      <right style="thin">
        <color rgb="FFC1C5C8"/>
      </right>
      <top/>
      <bottom style="thin">
        <color rgb="FFC1C5C8"/>
      </bottom>
      <diagonal/>
    </border>
    <border>
      <left/>
      <right style="thin">
        <color rgb="FFC1C5C8"/>
      </right>
      <top/>
      <bottom style="thin">
        <color rgb="FFC1C5C8"/>
      </bottom>
      <diagonal/>
    </border>
    <border>
      <left/>
      <right style="thin">
        <color rgb="FFC1C5C8"/>
      </right>
      <top/>
      <bottom style="thin">
        <color rgb="FFC1C5C8"/>
      </bottom>
      <diagonal/>
    </border>
    <border>
      <left/>
      <right/>
      <top/>
      <bottom style="thin">
        <color rgb="FFC1C5C8"/>
      </bottom>
      <diagonal/>
    </border>
    <border>
      <left/>
      <right style="thin">
        <color rgb="FFC1C5C8"/>
      </right>
      <top/>
      <bottom style="thin">
        <color rgb="FFC1C5C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true" applyFont="true" applyNumberFormat="false" applyProtection="false" borderId="3" fillId="3" fontId="2" numFmtId="0" xfId="0">
      <alignment horizontal="center" vertical="center"/>
    </xf>
    <xf applyAlignment="true" applyBorder="false" applyFill="true" applyFont="true" applyNumberFormat="false" applyProtection="false" borderId="4" fillId="4" fontId="2" numFmtId="0" xfId="0">
      <alignment horizontal="left" vertical="center" wrapText="true"/>
    </xf>
    <xf applyAlignment="true" applyBorder="false" applyFill="true" applyFont="true" applyNumberFormat="false" applyProtection="false" borderId="5" fillId="5" fontId="2" numFmtId="0" xfId="0">
      <alignment horizontal="left" vertical="center" wrapText="true"/>
    </xf>
    <xf applyAlignment="true" applyBorder="false" applyFill="true" applyFont="true" applyNumberFormat="false" applyProtection="false" borderId="6" fillId="6" fontId="3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horizontal="left" vertical="center" wrapText="true"/>
    </xf>
    <xf applyAlignment="true" applyBorder="false" applyFill="true" applyFont="true" applyNumberFormat="false" applyProtection="false" borderId="10" fillId="7" fontId="3" numFmtId="0" xfId="0">
      <alignment horizontal="center" vertical="center"/>
    </xf>
    <xf applyAlignment="true" applyBorder="false" applyFill="true" applyFont="true" applyNumberFormat="false" applyProtection="false" borderId="11" fillId="8" fontId="3" numFmtId="0" xfId="0">
      <alignment horizontal="center" vertical="center"/>
    </xf>
    <xf applyAlignment="true" applyBorder="false" applyFill="true" applyFont="true" applyNumberFormat="true" applyProtection="false" borderId="12" fillId="9" fontId="2" numFmtId="164" xfId="0">
      <alignment horizontal="center" vertical="center"/>
    </xf>
    <xf applyAlignment="true" applyBorder="false" applyFill="true" applyFont="true" applyNumberFormat="false" applyProtection="false" borderId="13" fillId="10" fontId="2" numFmtId="0" xfId="0">
      <alignment horizontal="center" vertical="center"/>
    </xf>
    <xf applyAlignment="true" applyBorder="false" applyFill="false" applyFont="true" applyNumberFormat="false" applyProtection="false" borderId="14" fillId="0" fontId="4" numFmtId="0" xfId="0">
      <alignment vertical="bottom"/>
    </xf>
    <xf applyAlignment="true" applyBorder="false" applyFill="false" applyFont="true" applyNumberFormat="false" applyProtection="false" borderId="15" fillId="0" fontId="5" numFmtId="0" xfId="0">
      <alignment vertical="center"/>
    </xf>
    <xf applyAlignment="true" applyBorder="false" applyFill="false" applyFont="true" applyNumberFormat="true" applyProtection="false" borderId="16" fillId="0" fontId="5" numFmtId="165" xfId="0">
      <alignment vertical="center"/>
    </xf>
    <xf applyAlignment="true" applyBorder="false" applyFill="false" applyFont="true" applyNumberFormat="false" applyProtection="false" borderId="17" fillId="0" fontId="2" numFmtId="0" xfId="0">
      <alignment vertical="center"/>
    </xf>
    <xf applyAlignment="true" applyBorder="false" applyFill="false" applyFont="true" applyNumberFormat="true" applyProtection="false" borderId="18" fillId="0" fontId="5" numFmtId="166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 wrapText="true"/>
    </xf>
    <xf applyAlignment="true" applyBorder="false" applyFill="false" applyFont="true" applyNumberFormat="false" applyProtection="false" borderId="20" fillId="0" fontId="6" numFmtId="0" xfId="0">
      <alignment vertical="center" wrapText="true"/>
    </xf>
    <xf applyAlignment="true" applyBorder="false" applyFill="false" applyFont="true" applyNumberFormat="true" applyProtection="false" borderId="21" fillId="0" fontId="6" numFmtId="167" xfId="0">
      <alignment vertical="center" wrapText="true"/>
    </xf>
    <xf applyAlignment="true" applyBorder="false" applyFill="false" applyFont="true" applyNumberFormat="false" applyProtection="false" borderId="22" fillId="0" fontId="6" numFmtId="0" xfId="0">
      <alignment horizontal="center" vertical="center" wrapText="true"/>
    </xf>
    <xf applyAlignment="true" applyBorder="false" applyFill="false" applyFont="true" applyNumberFormat="true" applyProtection="false" borderId="23" fillId="0" fontId="7" numFmtId="168" xfId="0">
      <alignment horizontal="center" vertical="center"/>
    </xf>
    <xf applyAlignment="true" applyBorder="false" applyFill="false" applyFont="true" applyNumberFormat="true" applyProtection="false" borderId="24" fillId="0" fontId="7" numFmtId="169" xfId="0">
      <alignment horizontal="center" vertical="center"/>
    </xf>
    <xf applyAlignment="true" applyBorder="false" applyFill="false" applyFont="true" applyNumberFormat="true" applyProtection="false" borderId="25" fillId="0" fontId="7" numFmtId="170" xfId="0">
      <alignment horizontal="center" vertical="center"/>
    </xf>
    <xf applyAlignment="true" applyBorder="false" applyFill="false" applyFont="true" applyNumberFormat="true" applyProtection="false" borderId="26" fillId="0" fontId="7" numFmtId="171" xfId="0">
      <alignment horizontal="center" vertical="center"/>
    </xf>
    <xf applyAlignment="true" applyBorder="false" applyFill="false" applyFont="true" applyNumberFormat="true" applyProtection="false" borderId="27" fillId="0" fontId="7" numFmtId="172" xfId="0">
      <alignment horizontal="center" vertical="center"/>
    </xf>
    <xf applyAlignment="true" applyBorder="false" applyFill="false" applyFont="true" applyNumberFormat="true" applyProtection="false" borderId="28" fillId="0" fontId="8" numFmtId="173" xfId="0">
      <alignment horizontal="center" vertical="center"/>
    </xf>
    <xf applyAlignment="true" applyBorder="false" applyFill="false" applyFont="true" applyNumberFormat="true" applyProtection="false" borderId="29" fillId="0" fontId="7" numFmtId="174" xfId="0">
      <alignment horizontal="center" vertical="center"/>
    </xf>
    <xf applyAlignment="true" applyBorder="false" applyFill="true" applyFont="true" applyNumberFormat="false" applyProtection="false" borderId="30" fillId="11" fontId="7" numFmtId="0" xfId="0">
      <alignment horizontal="center" vertical="center"/>
    </xf>
    <xf applyAlignment="true" applyBorder="false" applyFill="true" applyFont="true" applyNumberFormat="false" applyProtection="false" borderId="31" fillId="12" fontId="7" numFmtId="0" xfId="0">
      <alignment horizontal="center" vertical="center"/>
    </xf>
    <xf applyAlignment="true" applyBorder="false" applyFill="true" applyFont="true" applyNumberFormat="false" applyProtection="false" borderId="32" fillId="13" fontId="7" numFmtId="0" xfId="0">
      <alignment horizontal="center" vertical="center"/>
    </xf>
    <xf applyAlignment="true" applyBorder="false" applyFill="false" applyFont="true" applyNumberFormat="false" applyProtection="false" borderId="33" fillId="0" fontId="5" numFmtId="0" xfId="0">
      <alignment horizontal="right" vertical="center"/>
    </xf>
    <xf applyAlignment="true" applyBorder="false" applyFill="false" applyFont="true" applyNumberFormat="true" applyProtection="false" borderId="34" fillId="0" fontId="4" numFmtId="175" xfId="0">
      <alignment vertical="bottom"/>
    </xf>
    <xf applyAlignment="true" applyBorder="false" applyFill="false" applyFont="true" applyNumberFormat="false" applyProtection="false" borderId="35" fillId="0" fontId="7" numFmtId="0" xfId="0">
      <alignment horizontal="center" vertical="center"/>
    </xf>
    <xf applyAlignment="true" applyBorder="false" applyFill="true" applyFont="true" applyNumberFormat="false" applyProtection="false" borderId="36" fillId="14" fontId="9" numFmtId="0" xfId="0">
      <alignment horizontal="center" vertical="bottom"/>
    </xf>
    <xf applyAlignment="true" applyBorder="false" applyFill="false" applyFont="true" applyNumberFormat="true" applyProtection="false" borderId="37" fillId="0" fontId="1" numFmtId="176" xfId="0">
      <alignment vertical="top" wrapText="true"/>
    </xf>
    <xf applyAlignment="true" applyBorder="false" applyFill="false" applyFont="true" applyNumberFormat="false" applyProtection="false" borderId="38" fillId="0" fontId="1" numFmtId="0" xfId="0">
      <alignment vertical="top" wrapText="true"/>
    </xf>
    <xf applyAlignment="true" applyBorder="false" applyFill="false" applyFont="true" applyNumberFormat="true" applyProtection="false" borderId="39" fillId="0" fontId="10" numFmtId="177" xfId="0">
      <alignment vertical="top" wrapText="true"/>
    </xf>
    <xf applyAlignment="true" applyBorder="false" applyFill="false" applyFont="true" applyNumberFormat="true" applyProtection="false" borderId="40" fillId="0" fontId="5" numFmtId="178" xfId="0">
      <alignment vertical="center"/>
    </xf>
    <xf applyAlignment="true" applyBorder="false" applyFill="false" applyFont="true" applyNumberFormat="false" applyProtection="false" borderId="41" fillId="0" fontId="7" numFmtId="0" xfId="0">
      <alignment horizontal="center" vertical="center"/>
    </xf>
    <xf applyAlignment="true" applyBorder="false" applyFill="false" applyFont="true" applyNumberFormat="false" applyProtection="false" borderId="42" fillId="0" fontId="11" numFmtId="0" xfId="0">
      <alignment vertical="bottom"/>
    </xf>
    <xf applyAlignment="true" applyBorder="false" applyFill="false" applyFont="true" applyNumberFormat="false" applyProtection="false" borderId="43" fillId="0" fontId="7" numFmtId="0" xfId="0">
      <alignment horizontal="center" vertical="center"/>
    </xf>
    <xf applyAlignment="true" applyBorder="false" applyFill="false" applyFont="true" applyNumberFormat="false" applyProtection="false" borderId="44" fillId="0" fontId="10" numFmtId="0" xfId="0">
      <alignment vertical="center"/>
    </xf>
    <xf applyAlignment="true" applyBorder="false" applyFill="false" applyFont="true" applyNumberFormat="true" applyProtection="false" borderId="45" fillId="0" fontId="7" numFmtId="179" xfId="0">
      <alignment horizontal="center" vertical="center"/>
    </xf>
    <xf applyAlignment="true" applyBorder="false" applyFill="false" applyFont="true" applyNumberFormat="true" applyProtection="false" borderId="46" fillId="0" fontId="7" numFmtId="180" xfId="0">
      <alignment horizontal="center" vertical="center"/>
    </xf>
    <xf applyAlignment="true" applyBorder="false" applyFill="false" applyFont="true" applyNumberFormat="true" applyProtection="false" borderId="47" fillId="0" fontId="7" numFmtId="181" xfId="0">
      <alignment horizontal="center" vertical="center"/>
    </xf>
    <xf applyAlignment="true" applyBorder="false" applyFill="false" applyFont="true" applyNumberFormat="true" applyProtection="false" borderId="48" fillId="0" fontId="5" numFmtId="182" xfId="0">
      <alignment vertical="center"/>
    </xf>
    <xf applyAlignment="true" applyBorder="false" applyFill="true" applyFont="true" applyNumberFormat="true" applyProtection="false" borderId="49" fillId="15" fontId="7" numFmtId="183" xfId="0">
      <alignment horizontal="center" vertical="center"/>
    </xf>
    <xf applyAlignment="true" applyBorder="false" applyFill="true" applyFont="true" applyNumberFormat="true" applyProtection="false" borderId="50" fillId="16" fontId="7" numFmtId="184" xfId="0">
      <alignment horizontal="center" vertical="center"/>
    </xf>
    <xf applyAlignment="true" applyBorder="false" applyFill="true" applyFont="true" applyNumberFormat="true" applyProtection="false" borderId="51" fillId="17" fontId="7" numFmtId="185" xfId="0">
      <alignment horizontal="center" vertical="center"/>
    </xf>
    <xf applyAlignment="true" applyBorder="false" applyFill="false" applyFont="true" applyNumberFormat="true" applyProtection="false" borderId="52" fillId="0" fontId="5" numFmtId="186" xfId="0">
      <alignment vertical="center"/>
    </xf>
    <xf applyAlignment="true" applyBorder="false" applyFill="false" applyFont="true" applyNumberFormat="false" applyProtection="false" borderId="53" fillId="0" fontId="12" numFmtId="0" xfId="0">
      <alignment vertical="center" wrapText="true"/>
    </xf>
    <xf applyAlignment="true" applyBorder="false" applyFill="false" applyFont="true" applyNumberFormat="false" applyProtection="false" borderId="54" fillId="0" fontId="13" numFmtId="0" xfId="0">
      <alignment vertical="center" wrapText="true"/>
    </xf>
    <xf applyAlignment="true" applyBorder="false" applyFill="false" applyFont="true" applyNumberFormat="true" applyProtection="false" borderId="55" fillId="0" fontId="14" numFmtId="187" xfId="0">
      <alignment vertical="center" wrapText="true"/>
    </xf>
    <xf applyAlignment="true" applyBorder="false" applyFill="false" applyFont="true" applyNumberFormat="false" applyProtection="false" borderId="56" fillId="0" fontId="15" numFmtId="0" xfId="0">
      <alignment vertical="center" wrapText="true"/>
    </xf>
    <xf applyAlignment="true" applyBorder="false" applyFill="false" applyFont="true" applyNumberFormat="false" applyProtection="false" borderId="57" fillId="0" fontId="16" numFmtId="0" xfId="0">
      <alignment vertical="center" wrapText="true"/>
    </xf>
    <xf applyAlignment="true" applyBorder="false" applyFill="false" applyFont="true" applyNumberFormat="true" applyProtection="false" borderId="58" fillId="0" fontId="17" numFmtId="188" xfId="0">
      <alignment horizontal="left" vertical="center" wrapText="true"/>
    </xf>
    <xf applyAlignment="true" applyBorder="false" applyFill="true" applyFont="true" applyNumberFormat="true" applyProtection="false" borderId="59" fillId="18" fontId="17" numFmtId="189" xfId="0">
      <alignment horizontal="right" vertical="center" wrapText="true"/>
    </xf>
    <xf applyAlignment="true" applyBorder="false" applyFill="false" applyFont="true" applyNumberFormat="true" applyProtection="false" borderId="60" fillId="0" fontId="17" numFmtId="190" xfId="0">
      <alignment horizontal="right" vertical="center" wrapText="true"/>
    </xf>
    <xf applyAlignment="true" applyBorder="false" applyFill="false" applyFont="true" applyNumberFormat="false" applyProtection="false" borderId="61" fillId="0" fontId="1" numFmtId="0" xfId="0">
      <alignment horizontal="center" vertical="center" wrapText="true"/>
    </xf>
    <xf applyAlignment="true" applyBorder="false" applyFill="false" applyFont="true" applyNumberFormat="false" applyProtection="false" borderId="62" fillId="0" fontId="17" numFmtId="0" xfId="0">
      <alignment horizontal="left" vertical="center" wrapText="true"/>
    </xf>
    <xf applyAlignment="true" applyBorder="false" applyFill="false" applyFont="true" applyNumberFormat="false" applyProtection="false" borderId="63" fillId="0" fontId="17" numFmtId="0" xfId="0">
      <alignment horizontal="right" vertical="center" wrapText="true"/>
    </xf>
    <xf applyAlignment="true" applyBorder="false" applyFill="false" applyFont="true" applyNumberFormat="true" applyProtection="false" borderId="64" fillId="0" fontId="17" numFmtId="191" xfId="0">
      <alignment horizontal="right" vertical="center" wrapText="true"/>
    </xf>
    <xf applyAlignment="true" applyBorder="false" applyFill="false" applyFont="true" applyNumberFormat="true" applyProtection="false" borderId="65" fillId="0" fontId="17" numFmtId="192" xfId="0">
      <alignment horizontal="right" vertical="center" wrapText="true"/>
    </xf>
    <xf applyAlignment="true" applyBorder="false" applyFill="false" applyFont="true" applyNumberFormat="false" applyProtection="false" borderId="66" fillId="0" fontId="17" numFmtId="0" xfId="0">
      <alignment horizontal="center" vertical="center" wrapText="true"/>
    </xf>
    <xf applyAlignment="true" applyBorder="false" applyFill="false" applyFont="true" applyNumberFormat="false" applyProtection="false" borderId="67" fillId="0" fontId="2" numFmtId="0" xfId="0">
      <alignment vertical="bottom"/>
    </xf>
    <xf applyAlignment="true" applyBorder="false" applyFill="false" applyFont="true" applyNumberFormat="true" applyProtection="false" borderId="68" fillId="0" fontId="2" numFmtId="193" xfId="0">
      <alignment vertical="bottom"/>
    </xf>
    <xf applyAlignment="true" applyBorder="false" applyFill="false" applyFont="true" applyNumberFormat="true" applyProtection="false" borderId="69" fillId="0" fontId="4" numFmtId="194" xfId="0">
      <alignment vertical="bottom"/>
    </xf>
    <xf applyAlignment="true" applyBorder="false" applyFill="false" applyFont="true" applyNumberFormat="false" applyProtection="false" borderId="70" fillId="0" fontId="14" numFmtId="0" xfId="0">
      <alignment vertical="center" wrapText="true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false" applyFont="true" applyNumberFormat="true" applyProtection="false" borderId="72" fillId="0" fontId="2" numFmtId="195" xfId="0">
      <alignment vertical="bottom"/>
    </xf>
    <xf applyAlignment="true" applyBorder="false" applyFill="false" applyFont="true" applyNumberFormat="true" applyProtection="false" borderId="73" fillId="0" fontId="5" numFmtId="196" xfId="0">
      <alignment horizontal="center" vertical="center"/>
    </xf>
    <xf applyAlignment="true" applyBorder="false" applyFill="false" applyFont="true" applyNumberFormat="true" applyProtection="false" borderId="74" fillId="0" fontId="4" numFmtId="197" xfId="0">
      <alignment horizontal="center" vertical="bottom"/>
    </xf>
    <xf applyAlignment="true" applyBorder="false" applyFill="false" applyFont="true" applyNumberFormat="true" applyProtection="false" borderId="75" fillId="0" fontId="1" numFmtId="198" xfId="0">
      <alignment vertical="center" wrapText="true"/>
    </xf>
    <xf applyAlignment="true" applyBorder="false" applyFill="false" applyFont="true" applyNumberFormat="false" applyProtection="false" borderId="76" fillId="0" fontId="4" numFmtId="0" xfId="0">
      <alignment horizontal="center" vertical="bottom"/>
    </xf>
    <xf applyAlignment="true" applyBorder="false" applyFill="false" applyFont="true" applyNumberFormat="false" applyProtection="false" borderId="77" fillId="0" fontId="18" numFmtId="0" xfId="0">
      <alignment horizontal="center" vertical="top"/>
    </xf>
    <xf applyAlignment="true" applyBorder="false" applyFill="false" applyFont="true" applyNumberFormat="false" applyProtection="false" borderId="78" fillId="0" fontId="18" numFmtId="0" xfId="0">
      <alignment horizontal="center" vertical="top"/>
    </xf>
    <xf applyAlignment="true" applyBorder="false" applyFill="false" applyFont="true" applyNumberFormat="true" applyProtection="false" borderId="79" fillId="0" fontId="4" numFmtId="199" xfId="0">
      <alignment vertical="bottom"/>
    </xf>
    <xf applyAlignment="true" applyBorder="false" applyFill="false" applyFont="true" applyNumberFormat="true" applyProtection="false" borderId="80" fillId="0" fontId="1" numFmtId="200" xfId="0">
      <alignment vertical="center" wrapText="true"/>
    </xf>
    <xf applyAlignment="true" applyBorder="false" applyFill="false" applyFont="true" applyNumberFormat="true" applyProtection="false" borderId="81" fillId="0" fontId="5" numFmtId="201" xfId="0">
      <alignment vertical="center"/>
    </xf>
    <xf applyAlignment="true" applyBorder="false" applyFill="false" applyFont="true" applyNumberFormat="true" applyProtection="false" borderId="82" fillId="0" fontId="11" numFmtId="202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arget="http://JD.com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9"/>
    <col collapsed="false" customWidth="true" hidden="false" max="4" min="4" style="0" width="54"/>
  </cols>
  <sheetData>
    <row r="1">
      <c r="A1" s="1"/>
      <c r="B1" s="1"/>
      <c r="C1" s="1"/>
      <c r="D1" s="1"/>
    </row>
    <row r="2">
      <c r="A2" s="1"/>
      <c r="B2" s="6" t="str">
        <v>Datapack编写规则</v>
      </c>
      <c r="C2" s="6"/>
      <c r="D2" s="6"/>
    </row>
    <row r="3">
      <c r="A3" s="1"/>
      <c r="B3" s="2" t="str">
        <v>命名规则</v>
      </c>
      <c r="C3" s="3"/>
      <c r="D3" s="4" t="str">
        <v>（公司名）+Datapack+财报更新时间+本表格更新时间+更新人姓名；e.g. Coinbase Datapack_24Q3_20241208_Yuqian</v>
      </c>
    </row>
    <row r="4">
      <c r="A4" s="1"/>
      <c r="B4" s="7" t="str">
        <v>组成部分</v>
      </c>
      <c r="C4" s="8"/>
      <c r="D4" s="9" t="str">
        <v>第一部分是数据源汇总，第二部分是估值预测，第三部分是收入预测</v>
      </c>
    </row>
    <row r="5">
      <c r="A5" s="1"/>
      <c r="B5" s="2" t="str">
        <v>编写逻辑</v>
      </c>
      <c r="C5" s="3" t="str">
        <v>作用</v>
      </c>
      <c r="D5" s="4" t="str">
        <v>一切数据都可以在datapack中找到，不仅是财务数据，还有产品数据、行业数据等。因为这些数据都可以关联（例如通过行业数据+财务数据-&gt;这个公司的市占率这几年的变化；产品数据+财务数据-&gt; ARPU的变化）</v>
      </c>
    </row>
    <row r="6">
      <c r="A6" s="1"/>
      <c r="B6" s="2"/>
      <c r="C6" s="3" t="str">
        <v>如何更新</v>
      </c>
      <c r="D6" s="5" t="str">
        <v>1. 需要清晰标注数据源，在选择数据源时，尽量选择可迭代的（财报这种采一次数据就没了的慎用）
2. 更新时都在数据源上标注，如新增数据源，或更改最新访问时间，确保信息对齐</v>
      </c>
    </row>
    <row r="7">
      <c r="A7" s="1"/>
      <c r="B7" s="2"/>
      <c r="C7" s="3" t="str">
        <v>版本记录</v>
      </c>
      <c r="D7" s="4" t="str">
        <v>每次版本更新需详细记录自己对于该版本的修改，如新增了XX数据，更改了XX估值方式等，方便下一个人可以根据你的记录清晰的知道修改了哪些部分</v>
      </c>
    </row>
  </sheetData>
  <mergeCells>
    <mergeCell ref="B2:D2"/>
    <mergeCell ref="B5:B7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24"/>
  </cols>
  <sheetData>
    <row r="1">
      <c r="A1" s="1"/>
      <c r="B1" s="1"/>
      <c r="C1" s="1"/>
      <c r="D1" s="1"/>
      <c r="E1" s="1"/>
    </row>
    <row r="2">
      <c r="A2" s="1"/>
      <c r="B2" s="1"/>
      <c r="C2" s="1"/>
      <c r="D2" s="1"/>
      <c r="E2" s="1"/>
    </row>
    <row r="3">
      <c r="A3" s="1"/>
      <c r="B3" s="6" t="str">
        <v>数据库版本</v>
      </c>
      <c r="C3" s="10" t="str">
        <v>更新时间</v>
      </c>
      <c r="D3" s="10" t="str">
        <v>主要更新内容</v>
      </c>
      <c r="E3" s="11" t="str">
        <v>创建/更新人</v>
      </c>
    </row>
    <row r="4">
      <c r="A4" s="1"/>
      <c r="B4" s="2" t="str">
        <v>V1</v>
      </c>
      <c r="C4" s="12">
        <v>45836</v>
      </c>
      <c r="D4" s="5" t="str">
        <v>创建datapack</v>
      </c>
      <c r="E4" s="13" t="str">
        <v>Meghan</v>
      </c>
    </row>
    <row r="5">
      <c r="A5" s="1"/>
      <c r="B5" s="2" t="str">
        <v>V2</v>
      </c>
      <c r="C5" s="12">
        <v>45812</v>
      </c>
      <c r="D5" s="5" t="str">
        <v>更新大类资产数据</v>
      </c>
      <c r="E5" s="13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25"/>
    <col collapsed="false" customWidth="true" hidden="false" max="3" min="3" style="0" width="14"/>
    <col collapsed="false" customWidth="true" hidden="false" max="4" min="4" style="0" width="14"/>
    <col collapsed="false" customWidth="true" hidden="false" max="7" min="7" style="0" width="17"/>
  </cols>
  <sheetData>
    <row r="1">
      <c r="A1" s="17" t="str">
        <v>资产种类</v>
      </c>
      <c r="B1" s="17">
        <v>2025</v>
      </c>
      <c r="C1" s="14">
        <v>2020</v>
      </c>
      <c r="D1" s="14">
        <v>2015</v>
      </c>
      <c r="E1" s="15" t="str">
        <v>Trillion</v>
      </c>
      <c r="G1" s="15" t="str">
        <v>trillion</v>
      </c>
      <c r="H1" s="15" t="str">
        <v>Unicorn市值</v>
      </c>
      <c r="I1" s="15" t="str">
        <v>Unicorn公司数量</v>
      </c>
      <c r="K1" s="15" t="str">
        <v>nasdaq市值</v>
      </c>
      <c r="L1" s="15" t="str">
        <v>unicorn市值占nasdaq占比</v>
      </c>
    </row>
    <row r="2">
      <c r="A2" s="17" t="str">
        <v>债券 Bonds</v>
      </c>
      <c r="B2" s="17">
        <v>145</v>
      </c>
      <c r="C2" s="17">
        <v>123</v>
      </c>
      <c r="D2" s="17">
        <v>94</v>
      </c>
      <c r="G2" s="15">
        <v>2010</v>
      </c>
      <c r="H2" s="15">
        <v>0.1</v>
      </c>
      <c r="I2" s="15">
        <v>39</v>
      </c>
      <c r="K2" s="15">
        <v>4.2</v>
      </c>
      <c r="L2" s="15">
        <f>I2/K2</f>
      </c>
    </row>
    <row r="3">
      <c r="A3" s="17" t="str">
        <v>公开市场股票 Public Equity</v>
      </c>
      <c r="B3" s="17">
        <v>115</v>
      </c>
      <c r="C3" s="17">
        <v>105</v>
      </c>
      <c r="D3" s="17">
        <v>70</v>
      </c>
      <c r="G3" s="15">
        <v>2015</v>
      </c>
      <c r="H3" s="15">
        <v>0.5</v>
      </c>
      <c r="I3" s="15">
        <v>142</v>
      </c>
      <c r="K3" s="15">
        <v>10.1</v>
      </c>
      <c r="L3">
        <f>I3/K3</f>
      </c>
    </row>
    <row r="4">
      <c r="A4" s="17" t="str">
        <v>房地产 Real Estate</v>
      </c>
      <c r="B4" s="17">
        <v>330</v>
      </c>
      <c r="C4" s="17">
        <v>280</v>
      </c>
      <c r="D4" s="17">
        <v>220</v>
      </c>
      <c r="G4" s="15">
        <v>2021</v>
      </c>
      <c r="H4" s="15">
        <v>3.8</v>
      </c>
      <c r="I4" s="15">
        <v>943</v>
      </c>
      <c r="K4" s="15">
        <v>30.6</v>
      </c>
      <c r="L4">
        <f>I4/K4</f>
      </c>
    </row>
    <row r="5">
      <c r="A5" s="17" t="str">
        <v>私募市场 Private Markets</v>
      </c>
      <c r="B5" s="17">
        <v>15</v>
      </c>
      <c r="C5" s="17">
        <v>8</v>
      </c>
      <c r="D5" s="17">
        <v>3</v>
      </c>
      <c r="G5" s="15" t="str">
        <v>Today</v>
      </c>
      <c r="H5" s="15">
        <v>4.3</v>
      </c>
      <c r="I5" s="15">
        <v>1523</v>
      </c>
      <c r="K5" s="15">
        <v>32.5</v>
      </c>
      <c r="L5">
        <f>I5/K5</f>
      </c>
    </row>
    <row r="6">
      <c r="A6" s="17" t="str">
        <v>黄金 Gold</v>
      </c>
      <c r="B6" s="17">
        <v>20</v>
      </c>
      <c r="C6" s="17">
        <v>12</v>
      </c>
      <c r="D6" s="17">
        <v>7</v>
      </c>
      <c r="H6" s="18"/>
    </row>
    <row r="7">
      <c r="A7" s="17" t="str">
        <v>数字货币 Digital Assets</v>
      </c>
      <c r="B7" s="17">
        <v>3</v>
      </c>
      <c r="C7" s="17">
        <v>1</v>
      </c>
      <c r="D7" s="17">
        <v>0</v>
      </c>
    </row>
    <row r="8">
      <c r="A8" s="17" t="str">
        <v>收藏品 Arts &amp; Collectibles</v>
      </c>
      <c r="B8" s="17">
        <v>3</v>
      </c>
      <c r="C8" s="17">
        <v>1</v>
      </c>
      <c r="D8" s="17">
        <v>1</v>
      </c>
    </row>
    <row r="9">
      <c r="A9" s="17" t="str">
        <v>货币市场 Currency</v>
      </c>
      <c r="B9" s="17">
        <v>10</v>
      </c>
      <c r="C9" s="17">
        <v>8</v>
      </c>
      <c r="D9" s="17">
        <v>5</v>
      </c>
    </row>
    <row customHeight="true" ht="22" r="10">
      <c r="A10" s="17" t="str">
        <v>石油和天然气 Oil &amp; Gas</v>
      </c>
      <c r="B10" s="14">
        <v>8</v>
      </c>
      <c r="C10" s="14">
        <v>7</v>
      </c>
      <c r="D10" s="14">
        <v>1.82</v>
      </c>
    </row>
    <row r="11">
      <c r="A11" s="14" t="str">
        <v>全球资产总和</v>
      </c>
      <c r="B11" s="14">
        <f>SUM(B2:B10)</f>
      </c>
      <c r="C11" s="14">
        <f>SUM(C2:C10)</f>
      </c>
      <c r="D11" s="14">
        <f>SUM(D2:D10)</f>
      </c>
    </row>
    <row r="12">
      <c r="B12">
        <f>(B11-C11)/C11</f>
      </c>
      <c r="C12">
        <f>(C11-D11)/D11</f>
      </c>
      <c r="G12" s="15"/>
      <c r="H12" s="15"/>
      <c r="I12" s="15"/>
      <c r="K12" s="15"/>
      <c r="L12" s="15"/>
    </row>
    <row customHeight="true" ht="22" r="13">
      <c r="A13" s="17"/>
      <c r="B13" s="17"/>
      <c r="C13" s="14"/>
      <c r="D13" s="14"/>
      <c r="G13" s="15"/>
      <c r="H13" s="15"/>
      <c r="I13" s="15"/>
      <c r="K13" s="15"/>
      <c r="L13" s="15"/>
    </row>
    <row r="14">
      <c r="A14" s="17" t="str">
        <v>资产种类</v>
      </c>
      <c r="B14" s="17">
        <v>2025</v>
      </c>
      <c r="C14" s="14">
        <v>2020</v>
      </c>
      <c r="D14" s="14">
        <v>2015</v>
      </c>
      <c r="G14" s="15"/>
      <c r="H14" s="15"/>
      <c r="I14" s="15"/>
      <c r="K14" s="15"/>
      <c r="L14" s="15"/>
    </row>
    <row r="15">
      <c r="A15" s="17" t="str">
        <v>债券 Bonds</v>
      </c>
      <c r="B15">
        <f>B2/641</f>
      </c>
      <c r="C15">
        <f>C2/538</f>
      </c>
      <c r="D15">
        <f>D2/400</f>
      </c>
      <c r="G15" s="15"/>
      <c r="H15" s="15"/>
      <c r="I15" s="15"/>
      <c r="K15" s="15"/>
    </row>
    <row r="16">
      <c r="A16" s="17" t="str">
        <v>公开市场股票 Public Equity</v>
      </c>
      <c r="B16">
        <f>B3/641</f>
      </c>
      <c r="C16">
        <f>C3/538</f>
      </c>
      <c r="D16">
        <f>D3/400</f>
      </c>
      <c r="G16" s="15"/>
      <c r="H16" s="15"/>
      <c r="I16" s="15"/>
      <c r="K16" s="15"/>
    </row>
    <row r="17">
      <c r="A17" s="17" t="str">
        <v>房地产 Real Estate</v>
      </c>
      <c r="B17">
        <f>B4/641</f>
      </c>
      <c r="C17">
        <f>C4/538</f>
      </c>
      <c r="D17">
        <f>D4/400</f>
      </c>
      <c r="G17" s="15"/>
      <c r="H17" s="15"/>
      <c r="I17" s="15"/>
      <c r="K17" s="15"/>
    </row>
    <row r="18">
      <c r="A18" s="17" t="str">
        <v>私募市场 Private Markets</v>
      </c>
      <c r="B18">
        <f>B5/641</f>
      </c>
      <c r="C18">
        <f>C5/538</f>
      </c>
      <c r="D18">
        <f>D5/400</f>
      </c>
    </row>
    <row r="19">
      <c r="A19" s="17" t="str">
        <v>黄金 Gold</v>
      </c>
      <c r="B19">
        <f>B6/641</f>
      </c>
      <c r="C19">
        <f>C6/538</f>
      </c>
      <c r="D19">
        <f>D6/400</f>
      </c>
    </row>
    <row r="20">
      <c r="A20" s="17" t="str">
        <v>数字货币 Digital Assets</v>
      </c>
      <c r="B20">
        <f>B7/641</f>
      </c>
      <c r="C20">
        <f>C7/538</f>
      </c>
      <c r="D20">
        <f>D7/400</f>
      </c>
    </row>
    <row r="21">
      <c r="A21" s="17" t="str">
        <v>收藏品 Arts &amp; Collectibles</v>
      </c>
      <c r="B21">
        <f>B8/641</f>
      </c>
      <c r="C21">
        <f>C8/538</f>
      </c>
      <c r="D21">
        <f>D8/400</f>
      </c>
    </row>
    <row r="22">
      <c r="A22" s="17" t="str">
        <v>货币市场 Currency</v>
      </c>
      <c r="B22">
        <f>B9/641</f>
      </c>
      <c r="C22">
        <f>C9/538</f>
      </c>
      <c r="D22">
        <f>D9/400</f>
      </c>
    </row>
    <row r="23">
      <c r="A23" s="15"/>
      <c r="B23">
        <f>B11/641</f>
      </c>
      <c r="C23" s="15"/>
      <c r="D23" s="15"/>
    </row>
    <row r="24">
      <c r="A24" s="15"/>
      <c r="C24" s="15"/>
      <c r="D24" s="15"/>
    </row>
    <row r="25">
      <c r="A25" s="15"/>
      <c r="C25" s="15"/>
      <c r="D25" s="15"/>
    </row>
    <row r="26">
      <c r="A26" s="14" t="str">
        <v>年份</v>
      </c>
      <c r="B26" s="14" t="str">
        <v>无风险利率</v>
      </c>
      <c r="C26" s="15"/>
      <c r="D26" s="15"/>
    </row>
    <row r="27">
      <c r="A27" s="14">
        <v>1960</v>
      </c>
      <c r="B27" s="14">
        <v>2.87</v>
      </c>
      <c r="C27" s="16">
        <f>B27/100</f>
      </c>
    </row>
    <row r="28">
      <c r="A28" s="14">
        <v>1961</v>
      </c>
      <c r="B28" s="14">
        <v>2.35</v>
      </c>
      <c r="C28" s="16">
        <f>B28/100</f>
      </c>
    </row>
    <row r="29">
      <c r="A29" s="14">
        <v>1962</v>
      </c>
      <c r="B29" s="14">
        <v>2.77</v>
      </c>
      <c r="C29" s="16">
        <f>B29/100</f>
      </c>
    </row>
    <row r="30">
      <c r="A30" s="14">
        <v>1963</v>
      </c>
      <c r="B30" s="14">
        <v>3.16</v>
      </c>
      <c r="C30" s="16">
        <f>B30/100</f>
      </c>
    </row>
    <row r="31">
      <c r="A31" s="14">
        <v>1964</v>
      </c>
      <c r="B31" s="14">
        <v>3.55</v>
      </c>
      <c r="C31" s="16">
        <f>B31/100</f>
      </c>
    </row>
    <row r="32">
      <c r="A32" s="14">
        <v>1965</v>
      </c>
      <c r="B32" s="14">
        <v>3.95</v>
      </c>
      <c r="C32" s="16">
        <f>B32/100</f>
      </c>
    </row>
    <row r="33">
      <c r="A33" s="14">
        <v>1966</v>
      </c>
      <c r="B33" s="14">
        <v>4.86</v>
      </c>
      <c r="C33" s="16">
        <f>B33/100</f>
      </c>
    </row>
    <row r="34">
      <c r="A34" s="14">
        <v>1967</v>
      </c>
      <c r="B34" s="14">
        <v>4.29</v>
      </c>
      <c r="C34" s="16">
        <f>B34/100</f>
      </c>
    </row>
    <row r="35">
      <c r="A35" s="14">
        <v>1968</v>
      </c>
      <c r="B35" s="14">
        <v>5.34</v>
      </c>
      <c r="C35" s="16">
        <f>B35/100</f>
      </c>
    </row>
    <row r="36">
      <c r="A36" s="14">
        <v>1969</v>
      </c>
      <c r="B36" s="14">
        <v>6.67</v>
      </c>
      <c r="C36" s="16">
        <f>B36/100</f>
      </c>
    </row>
    <row r="37">
      <c r="A37" s="14">
        <v>1970</v>
      </c>
      <c r="B37" s="14">
        <v>6.39</v>
      </c>
      <c r="C37" s="16">
        <f>B37/100</f>
      </c>
    </row>
    <row r="38">
      <c r="A38" s="14">
        <v>1971</v>
      </c>
      <c r="B38" s="14">
        <v>4.33</v>
      </c>
      <c r="C38" s="16">
        <f>B38/100</f>
      </c>
    </row>
    <row r="39">
      <c r="A39" s="14">
        <v>1972</v>
      </c>
      <c r="B39" s="14">
        <v>4.06</v>
      </c>
      <c r="C39" s="16">
        <f>B39/100</f>
      </c>
    </row>
    <row r="40">
      <c r="A40" s="14">
        <v>1973</v>
      </c>
      <c r="B40" s="14">
        <v>7.04</v>
      </c>
      <c r="C40" s="16">
        <f>B40/100</f>
      </c>
    </row>
    <row r="41">
      <c r="A41" s="14">
        <v>1974</v>
      </c>
      <c r="B41" s="14">
        <v>7.85</v>
      </c>
      <c r="C41" s="16">
        <f>B41/100</f>
      </c>
    </row>
    <row r="42">
      <c r="A42" s="14">
        <v>1975</v>
      </c>
      <c r="B42" s="14">
        <v>5.79</v>
      </c>
      <c r="C42" s="16">
        <f>B42/100</f>
      </c>
    </row>
    <row r="43">
      <c r="A43" s="14">
        <v>1976</v>
      </c>
      <c r="B43" s="14">
        <v>4.98</v>
      </c>
      <c r="C43" s="16">
        <f>B43/100</f>
      </c>
    </row>
    <row r="44">
      <c r="A44" s="14">
        <v>1977</v>
      </c>
      <c r="B44" s="14">
        <v>5.26</v>
      </c>
      <c r="C44" s="16">
        <f>B44/100</f>
      </c>
    </row>
    <row r="45">
      <c r="A45" s="14">
        <v>1978</v>
      </c>
      <c r="B45" s="14">
        <v>7.18</v>
      </c>
      <c r="C45" s="16">
        <f>B45/100</f>
      </c>
    </row>
    <row r="46">
      <c r="A46" s="14">
        <v>1979</v>
      </c>
      <c r="B46" s="14">
        <v>10.05</v>
      </c>
      <c r="C46" s="16">
        <f>B46/100</f>
      </c>
    </row>
    <row r="47">
      <c r="A47" s="14">
        <v>1980</v>
      </c>
      <c r="B47" s="14">
        <v>11.39</v>
      </c>
      <c r="C47" s="16">
        <f>B47/100</f>
      </c>
    </row>
    <row r="48">
      <c r="A48" s="14">
        <v>1981</v>
      </c>
      <c r="B48" s="14">
        <v>14.04</v>
      </c>
      <c r="C48" s="16">
        <f>B48/100</f>
      </c>
    </row>
    <row r="49">
      <c r="A49" s="14">
        <v>1982</v>
      </c>
      <c r="B49" s="14">
        <v>10.6</v>
      </c>
      <c r="C49" s="16">
        <f>B49/100</f>
      </c>
    </row>
    <row r="50">
      <c r="A50" s="14">
        <v>1983</v>
      </c>
      <c r="B50" s="14">
        <v>8.62</v>
      </c>
      <c r="C50" s="16">
        <f>B50/100</f>
      </c>
    </row>
    <row r="51">
      <c r="A51" s="14">
        <v>1984</v>
      </c>
      <c r="B51" s="14">
        <v>9.54</v>
      </c>
      <c r="C51" s="16">
        <f>B51/100</f>
      </c>
    </row>
    <row r="52">
      <c r="A52" s="14">
        <v>1985</v>
      </c>
      <c r="B52" s="14">
        <v>7.47</v>
      </c>
      <c r="C52" s="16">
        <f>B52/100</f>
      </c>
    </row>
    <row r="53">
      <c r="A53" s="14">
        <v>1986</v>
      </c>
      <c r="B53" s="14">
        <v>5.97</v>
      </c>
      <c r="C53" s="16">
        <f>B53/100</f>
      </c>
    </row>
    <row r="54">
      <c r="A54" s="14">
        <v>1987</v>
      </c>
      <c r="B54" s="14">
        <v>5.78</v>
      </c>
      <c r="C54" s="16">
        <f>B54/100</f>
      </c>
    </row>
    <row r="55">
      <c r="A55" s="14">
        <v>1988</v>
      </c>
      <c r="B55" s="14">
        <v>6.67</v>
      </c>
      <c r="C55" s="16">
        <f>B55/100</f>
      </c>
    </row>
    <row r="56">
      <c r="A56" s="14">
        <v>1989</v>
      </c>
      <c r="B56" s="14">
        <v>8.11</v>
      </c>
      <c r="C56" s="16">
        <f>B56/100</f>
      </c>
    </row>
    <row r="57">
      <c r="A57" s="14">
        <v>1990</v>
      </c>
      <c r="B57" s="14">
        <v>7.5</v>
      </c>
      <c r="C57" s="16">
        <f>B57/100</f>
      </c>
    </row>
    <row r="58">
      <c r="A58" s="14">
        <v>1991</v>
      </c>
      <c r="B58" s="14">
        <v>5.38</v>
      </c>
      <c r="C58" s="16">
        <f>B58/100</f>
      </c>
    </row>
    <row r="59">
      <c r="A59" s="14">
        <v>1992</v>
      </c>
      <c r="B59" s="14">
        <v>3.43</v>
      </c>
      <c r="C59" s="16">
        <f>B59/100</f>
      </c>
    </row>
    <row r="60">
      <c r="A60" s="14">
        <v>1993</v>
      </c>
      <c r="B60" s="14">
        <v>3</v>
      </c>
      <c r="C60" s="16">
        <f>B60/100</f>
      </c>
    </row>
    <row r="61">
      <c r="A61" s="14">
        <v>1994</v>
      </c>
      <c r="B61" s="14">
        <v>4.25</v>
      </c>
      <c r="C61" s="16">
        <f>B61/100</f>
      </c>
    </row>
    <row r="62">
      <c r="A62" s="14">
        <v>1995</v>
      </c>
      <c r="B62" s="14">
        <v>5.49</v>
      </c>
      <c r="C62" s="16">
        <f>B62/100</f>
      </c>
    </row>
    <row r="63">
      <c r="A63" s="14">
        <v>1996</v>
      </c>
      <c r="B63" s="14">
        <v>5.01</v>
      </c>
      <c r="C63" s="16">
        <f>B63/100</f>
      </c>
    </row>
    <row r="64">
      <c r="A64" s="14">
        <v>1997</v>
      </c>
      <c r="B64" s="14">
        <v>5.06</v>
      </c>
      <c r="C64" s="16">
        <f>B64/100</f>
      </c>
    </row>
    <row r="65">
      <c r="A65" s="14">
        <v>1998</v>
      </c>
      <c r="B65" s="14">
        <v>4.78</v>
      </c>
      <c r="C65" s="16">
        <f>B65/100</f>
      </c>
    </row>
    <row r="66">
      <c r="A66" s="14">
        <v>1999</v>
      </c>
      <c r="B66" s="14">
        <v>4.64</v>
      </c>
      <c r="C66" s="16">
        <f>B66/100</f>
      </c>
    </row>
    <row r="67">
      <c r="A67" s="14">
        <v>2000</v>
      </c>
      <c r="B67" s="14">
        <v>5.82</v>
      </c>
      <c r="C67" s="16">
        <f>B67/100</f>
      </c>
    </row>
    <row r="68">
      <c r="A68" s="14">
        <v>2001</v>
      </c>
      <c r="B68" s="14">
        <v>3.4</v>
      </c>
      <c r="C68" s="16">
        <f>B68/100</f>
      </c>
    </row>
    <row r="69">
      <c r="A69" s="14">
        <v>2002</v>
      </c>
      <c r="B69" s="14">
        <v>1.61</v>
      </c>
      <c r="C69" s="16">
        <f>B69/100</f>
      </c>
    </row>
    <row r="70">
      <c r="A70" s="14">
        <v>2003</v>
      </c>
      <c r="B70" s="14">
        <v>1.01</v>
      </c>
      <c r="C70" s="16">
        <f>B70/100</f>
      </c>
    </row>
    <row r="71">
      <c r="A71" s="14">
        <v>2004</v>
      </c>
      <c r="B71" s="14">
        <v>1.37</v>
      </c>
      <c r="C71" s="16">
        <f>B71/100</f>
      </c>
    </row>
    <row r="72">
      <c r="A72" s="14">
        <v>2005</v>
      </c>
      <c r="B72" s="14">
        <v>3.15</v>
      </c>
      <c r="C72" s="16">
        <f>B72/100</f>
      </c>
    </row>
    <row r="73">
      <c r="A73" s="14">
        <v>2006</v>
      </c>
      <c r="B73" s="14">
        <v>4.73</v>
      </c>
      <c r="C73" s="16">
        <f>B73/100</f>
      </c>
    </row>
    <row r="74">
      <c r="A74" s="14">
        <v>2007</v>
      </c>
      <c r="B74" s="14">
        <v>4.36</v>
      </c>
      <c r="C74" s="16">
        <f>B74/100</f>
      </c>
    </row>
    <row r="75">
      <c r="A75" s="14">
        <v>2008</v>
      </c>
      <c r="B75" s="14">
        <v>1.37</v>
      </c>
      <c r="C75" s="16">
        <f>B75/100</f>
      </c>
    </row>
    <row r="76">
      <c r="A76" s="14">
        <v>2009</v>
      </c>
      <c r="B76" s="14">
        <v>0.15</v>
      </c>
      <c r="C76" s="16">
        <f>B76/100</f>
      </c>
    </row>
    <row r="77">
      <c r="A77" s="14">
        <v>2010</v>
      </c>
      <c r="B77" s="14">
        <v>0.14</v>
      </c>
      <c r="C77" s="16">
        <f>B77/100</f>
      </c>
    </row>
    <row r="78">
      <c r="A78" s="14">
        <v>2011</v>
      </c>
      <c r="B78" s="14">
        <v>0.05</v>
      </c>
      <c r="C78" s="16">
        <f>B78/100</f>
      </c>
    </row>
    <row r="79">
      <c r="A79" s="14">
        <v>2012</v>
      </c>
      <c r="B79" s="14">
        <v>0.09</v>
      </c>
      <c r="C79" s="16">
        <f>B79/100</f>
      </c>
    </row>
    <row r="80">
      <c r="A80" s="14">
        <v>2013</v>
      </c>
      <c r="B80" s="14">
        <v>0.06</v>
      </c>
      <c r="C80" s="16">
        <f>B80/100</f>
      </c>
    </row>
    <row r="81">
      <c r="A81" s="14">
        <v>2014</v>
      </c>
      <c r="B81" s="14">
        <v>0.03</v>
      </c>
      <c r="C81" s="16">
        <f>B81/100</f>
      </c>
    </row>
    <row r="82">
      <c r="A82" s="14">
        <v>2015</v>
      </c>
      <c r="B82" s="14">
        <v>0.05</v>
      </c>
      <c r="C82" s="16">
        <f>B82/100</f>
      </c>
    </row>
    <row r="83">
      <c r="A83" s="14">
        <v>2016</v>
      </c>
      <c r="B83" s="14">
        <v>0.32</v>
      </c>
      <c r="C83" s="16">
        <f>B83/100</f>
      </c>
    </row>
    <row r="84">
      <c r="A84" s="14">
        <v>2017</v>
      </c>
      <c r="B84" s="14">
        <v>0.93</v>
      </c>
      <c r="C84" s="16">
        <f>B84/100</f>
      </c>
    </row>
    <row r="85">
      <c r="A85" s="14">
        <v>2018</v>
      </c>
      <c r="B85" s="14">
        <v>1.94</v>
      </c>
      <c r="C85" s="16">
        <f>B85/100</f>
      </c>
    </row>
    <row r="86">
      <c r="A86" s="14">
        <v>2019</v>
      </c>
      <c r="B86" s="14">
        <v>2.06</v>
      </c>
      <c r="C86" s="16">
        <f>B86/100</f>
      </c>
    </row>
    <row r="87">
      <c r="A87" s="14">
        <v>2020</v>
      </c>
      <c r="B87" s="14">
        <v>0.35</v>
      </c>
      <c r="C87" s="16">
        <f>B87/100</f>
      </c>
    </row>
    <row r="88">
      <c r="A88" s="14">
        <v>2021</v>
      </c>
      <c r="B88" s="14">
        <v>0.05</v>
      </c>
      <c r="C88" s="16">
        <f>B88/100</f>
      </c>
    </row>
    <row r="89">
      <c r="A89" s="14">
        <v>2022</v>
      </c>
      <c r="B89" s="14">
        <v>2.02</v>
      </c>
      <c r="C89" s="16">
        <f>B89/100</f>
      </c>
    </row>
    <row r="90">
      <c r="A90" s="14">
        <v>2023</v>
      </c>
      <c r="B90" s="14">
        <v>5.07</v>
      </c>
      <c r="C90" s="16">
        <f>B90/100</f>
      </c>
    </row>
    <row r="91">
      <c r="A91" s="14">
        <v>2024</v>
      </c>
      <c r="B91" s="14">
        <v>4.97</v>
      </c>
      <c r="C91" s="16">
        <f>B91/100</f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4"/>
  </cols>
  <sheetData>
    <row r="1">
      <c r="A1" s="22" t="str">
        <v>年度</v>
      </c>
      <c r="B1" s="22" t="str">
        <v>上市公司数（家）</v>
      </c>
      <c r="C1" s="22"/>
      <c r="D1" s="22"/>
      <c r="E1" s="22" t="str">
        <v>Amazon</v>
      </c>
      <c r="F1" s="15" t="str">
        <v>市值</v>
      </c>
      <c r="G1" s="15" t="str">
        <v>增长倍数</v>
      </c>
    </row>
    <row r="2">
      <c r="A2" s="19">
        <v>1990</v>
      </c>
      <c r="B2" s="19" t="str">
        <v>4,4 00</v>
      </c>
      <c r="C2" s="19"/>
      <c r="D2" s="19"/>
      <c r="E2" s="19" t="str">
        <v>1997年上市</v>
      </c>
      <c r="F2" s="15" t="str">
        <v>$440M</v>
      </c>
      <c r="G2" s="15" t="str">
        <v>5400x</v>
      </c>
    </row>
    <row r="3">
      <c r="A3" s="19">
        <v>1991</v>
      </c>
      <c r="B3" s="19" t="str">
        <v>4,70 0</v>
      </c>
      <c r="C3" s="19"/>
      <c r="D3" s="19"/>
      <c r="E3" s="19">
        <v>2025</v>
      </c>
      <c r="F3" s="15" t="str">
        <v>$2.4T</v>
      </c>
    </row>
    <row r="4">
      <c r="A4" s="19">
        <v>1992</v>
      </c>
      <c r="B4" s="19" t="str">
        <v>5,00 0</v>
      </c>
      <c r="C4" s="19"/>
      <c r="D4" s="19"/>
      <c r="E4" s="19"/>
    </row>
    <row r="5">
      <c r="A5" s="19">
        <v>1993</v>
      </c>
      <c r="B5" s="19" t="str">
        <v>5,25 0</v>
      </c>
      <c r="C5" s="19"/>
      <c r="D5" s="19"/>
      <c r="E5" s="19"/>
    </row>
    <row r="6">
      <c r="A6" s="19">
        <v>1994</v>
      </c>
      <c r="B6" s="19" t="str">
        <v>5,27 0</v>
      </c>
      <c r="C6" s="19"/>
      <c r="D6" s="19"/>
      <c r="E6" s="19"/>
    </row>
    <row r="7">
      <c r="A7" s="19">
        <v>1995</v>
      </c>
      <c r="B7" s="19" t="str">
        <v>5,58 0</v>
      </c>
      <c r="C7" s="19"/>
      <c r="D7" s="19"/>
      <c r="E7" s="22" t="str">
        <v>基金名称</v>
      </c>
      <c r="F7" s="22" t="str">
        <v>Vintage</v>
      </c>
      <c r="G7" s="22" t="str">
        <v>募资规模</v>
      </c>
    </row>
    <row r="8">
      <c r="A8" s="19">
        <v>1996</v>
      </c>
      <c r="B8" s="19" t="str">
        <v>6,05 0</v>
      </c>
      <c r="C8" s="19"/>
      <c r="D8" s="19"/>
      <c r="E8" s="19" t="str">
        <v>Thrive Capital Partners I</v>
      </c>
      <c r="F8" s="19">
        <v>2009</v>
      </c>
      <c r="G8" s="20" t="str">
        <v>$5 m</v>
      </c>
    </row>
    <row r="9">
      <c r="A9" s="19">
        <v>1997</v>
      </c>
      <c r="B9" s="19" t="str">
        <v>6,82 0</v>
      </c>
      <c r="C9" s="19"/>
      <c r="D9" s="19"/>
      <c r="E9" s="19" t="str">
        <v>Thrive Capital Partners II</v>
      </c>
      <c r="F9" s="19">
        <v>2011</v>
      </c>
      <c r="G9" s="20" t="str">
        <v>$40 m</v>
      </c>
    </row>
    <row r="10">
      <c r="A10" s="19">
        <v>1998</v>
      </c>
      <c r="B10" s="19" t="str">
        <v>7,22 0</v>
      </c>
      <c r="C10" s="19"/>
      <c r="D10" s="19"/>
      <c r="E10" s="19" t="str">
        <v>Thrive Capital Partners III</v>
      </c>
      <c r="F10" s="19">
        <v>2012</v>
      </c>
      <c r="G10" s="20" t="str">
        <v>$150 m</v>
      </c>
    </row>
    <row r="11">
      <c r="A11" s="19">
        <v>1999</v>
      </c>
      <c r="B11" s="19" t="str">
        <v>7,30 0</v>
      </c>
      <c r="C11" s="19"/>
      <c r="D11" s="19"/>
      <c r="E11" s="19" t="str">
        <v>Thrive Capital Partners IV</v>
      </c>
      <c r="F11" s="19">
        <v>2014</v>
      </c>
      <c r="G11" s="20" t="str">
        <v>$400 m</v>
      </c>
    </row>
    <row r="12">
      <c r="A12" s="19">
        <v>2000</v>
      </c>
      <c r="B12" s="19" t="str">
        <v>7,19 0</v>
      </c>
      <c r="C12" s="19"/>
      <c r="D12" s="19"/>
      <c r="E12" s="19" t="str">
        <v>Thrive Capital Partners V</v>
      </c>
      <c r="F12" s="19">
        <v>2016</v>
      </c>
      <c r="G12" s="20" t="str">
        <v>$700 m</v>
      </c>
    </row>
    <row r="13">
      <c r="A13" s="19">
        <v>2001</v>
      </c>
      <c r="B13" s="19" t="str">
        <v>6,93 0</v>
      </c>
      <c r="C13" s="19"/>
      <c r="D13" s="19"/>
      <c r="E13" s="19" t="str">
        <v>Thrive Capital Partners VI</v>
      </c>
      <c r="F13" s="19">
        <v>2018</v>
      </c>
      <c r="G13" s="20" t="str">
        <v>$1 bn</v>
      </c>
    </row>
    <row r="14">
      <c r="A14" s="19">
        <v>2002</v>
      </c>
      <c r="B14" s="19" t="str">
        <v>6,60 0</v>
      </c>
      <c r="C14" s="19"/>
      <c r="D14" s="19"/>
      <c r="E14" s="19" t="str">
        <v>Thrive Capital Partners VII</v>
      </c>
      <c r="F14" s="19">
        <v>2021</v>
      </c>
      <c r="G14" s="20" t="str">
        <v>$2 bn</v>
      </c>
    </row>
    <row r="15">
      <c r="A15" s="19">
        <v>2003</v>
      </c>
      <c r="B15" s="19" t="str">
        <v>6,09 0</v>
      </c>
      <c r="C15" s="19"/>
      <c r="D15" s="19"/>
      <c r="E15" s="19" t="str">
        <v>Thrive Capital Partners VIII</v>
      </c>
      <c r="F15" s="19">
        <v>2022</v>
      </c>
      <c r="G15" s="20" t="str">
        <v>$3 bn</v>
      </c>
    </row>
    <row r="16">
      <c r="A16" s="19">
        <v>2004</v>
      </c>
      <c r="B16" s="19" t="str">
        <v>5,88 0</v>
      </c>
      <c r="C16" s="19"/>
      <c r="D16" s="19"/>
      <c r="E16" s="19" t="str">
        <v>Thrive Capital Partners IX*</v>
      </c>
      <c r="F16" s="19">
        <v>2024</v>
      </c>
      <c r="G16" s="20" t="str">
        <v>$5 bn</v>
      </c>
    </row>
    <row r="17">
      <c r="A17" s="19">
        <v>2005</v>
      </c>
      <c r="B17" s="19" t="str">
        <v>5,50 0</v>
      </c>
      <c r="C17" s="19"/>
      <c r="D17" s="19"/>
      <c r="E17" s="19"/>
    </row>
    <row r="18">
      <c r="A18" s="19">
        <v>2006</v>
      </c>
      <c r="B18" s="19" t="str">
        <v>5,11 0</v>
      </c>
      <c r="C18" s="19"/>
      <c r="D18" s="19"/>
      <c r="E18" s="21"/>
    </row>
    <row r="19">
      <c r="A19" s="19">
        <v>2007</v>
      </c>
      <c r="B19" s="19" t="str">
        <v>4,95 0</v>
      </c>
      <c r="C19" s="20"/>
      <c r="D19" s="20"/>
      <c r="E19" s="19"/>
    </row>
    <row r="20">
      <c r="A20" s="19">
        <v>2008</v>
      </c>
      <c r="B20" s="19" t="str">
        <v>4,60 0</v>
      </c>
    </row>
    <row r="21">
      <c r="A21" s="19">
        <v>2009</v>
      </c>
      <c r="B21" s="19" t="str">
        <v>4,37 0</v>
      </c>
    </row>
    <row r="22">
      <c r="A22" s="19">
        <v>2010</v>
      </c>
      <c r="B22" s="19" t="str">
        <v>4,31 0</v>
      </c>
    </row>
    <row r="23">
      <c r="A23" s="19">
        <v>2011</v>
      </c>
      <c r="B23" s="19" t="str">
        <v>4,13 0</v>
      </c>
    </row>
    <row r="24">
      <c r="A24" s="19">
        <v>2012</v>
      </c>
      <c r="B24" s="19" t="str">
        <v>4,15 0</v>
      </c>
    </row>
    <row r="25">
      <c r="A25" s="19">
        <v>2013</v>
      </c>
      <c r="B25" s="19" t="str">
        <v>4,20 0</v>
      </c>
    </row>
    <row r="26">
      <c r="A26" s="19">
        <v>2014</v>
      </c>
      <c r="B26" s="19" t="str">
        <v>4,36 0</v>
      </c>
    </row>
    <row r="27">
      <c r="A27" s="19">
        <v>2015</v>
      </c>
      <c r="B27" s="19" t="str">
        <v>4,38 0</v>
      </c>
    </row>
    <row r="28">
      <c r="A28" s="19">
        <v>2016</v>
      </c>
      <c r="B28" s="19" t="str">
        <v>4,33 0</v>
      </c>
    </row>
    <row r="29">
      <c r="A29" s="19">
        <v>2017</v>
      </c>
      <c r="B29" s="19" t="str">
        <v>4,33 0</v>
      </c>
    </row>
    <row r="30">
      <c r="A30" s="19">
        <v>2018</v>
      </c>
      <c r="B30" s="19" t="str">
        <v>4,40 0</v>
      </c>
    </row>
    <row r="31">
      <c r="A31" s="19">
        <v>2019</v>
      </c>
      <c r="B31" s="19" t="str">
        <v>4,27 0</v>
      </c>
    </row>
    <row r="32">
      <c r="A32" s="19">
        <v>2020</v>
      </c>
      <c r="B32" s="19" t="str">
        <v>4,32 0</v>
      </c>
    </row>
    <row r="33">
      <c r="A33" s="19">
        <v>2021</v>
      </c>
      <c r="B33" s="19" t="str">
        <v>4,41 0</v>
      </c>
    </row>
    <row r="34">
      <c r="A34" s="19">
        <v>2022</v>
      </c>
      <c r="B34" s="19" t="str">
        <v>4,34 0</v>
      </c>
    </row>
    <row r="35">
      <c r="A35" s="19">
        <v>2023</v>
      </c>
      <c r="B35" s="19" t="str">
        <v>4,05 0</v>
      </c>
    </row>
    <row r="36">
      <c r="A36" s="19">
        <v>2024</v>
      </c>
      <c r="B36" s="21">
        <v>3804</v>
      </c>
    </row>
    <row r="37">
      <c r="A37" s="20" t="str">
        <v>2025 YTD</v>
      </c>
      <c r="B37" s="19" t="s">
        <v>1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</cols>
  <sheetData>
    <row r="1">
      <c r="A1" s="15" t="str">
        <v>AUM</v>
      </c>
    </row>
    <row r="2">
      <c r="A2" s="15" t="str">
        <v>trillion</v>
      </c>
      <c r="B2" s="15">
        <v>2015</v>
      </c>
      <c r="C2" s="15">
        <v>2020</v>
      </c>
      <c r="D2" s="15">
        <v>2025</v>
      </c>
    </row>
    <row r="3">
      <c r="A3" s="15" t="str">
        <v>VC</v>
      </c>
      <c r="B3" s="15">
        <v>1.2</v>
      </c>
      <c r="C3" s="15">
        <v>1.8</v>
      </c>
      <c r="D3" s="15">
        <v>2.7</v>
      </c>
    </row>
    <row r="4">
      <c r="A4" s="15" t="str">
        <v>PE</v>
      </c>
      <c r="B4" s="15">
        <v>2.5</v>
      </c>
      <c r="C4" s="15">
        <v>4.5</v>
      </c>
      <c r="D4" s="15">
        <v>7.6</v>
      </c>
    </row>
    <row r="5">
      <c r="A5" s="15" t="str">
        <v>私募信贷Private Credit</v>
      </c>
      <c r="B5" s="15">
        <v>0.5</v>
      </c>
      <c r="C5" s="15">
        <v>1</v>
      </c>
      <c r="D5" s="15">
        <v>2</v>
      </c>
    </row>
    <row r="6">
      <c r="A6" s="15" t="str">
        <v>基础设施Infrasturcture</v>
      </c>
      <c r="B6" s="15">
        <v>0.5</v>
      </c>
      <c r="C6" s="15">
        <v>1</v>
      </c>
      <c r="D6" s="15">
        <v>1.3</v>
      </c>
    </row>
    <row r="7">
      <c r="A7" s="15" t="str">
        <v>S基金Secondary</v>
      </c>
      <c r="B7" s="15">
        <v>0.04</v>
      </c>
      <c r="C7" s="15">
        <v>0.3</v>
      </c>
      <c r="D7" s="15">
        <v>0.6</v>
      </c>
    </row>
    <row r="8">
      <c r="A8" s="15" t="str">
        <v>GP股权 GP Stake</v>
      </c>
      <c r="B8" s="15">
        <v>0</v>
      </c>
      <c r="C8" s="15">
        <v>0.02</v>
      </c>
      <c r="D8" s="15">
        <v>0.1</v>
      </c>
    </row>
    <row r="9"/>
    <row r="10">
      <c r="A10" s="15" t="str">
        <v>募资</v>
      </c>
      <c r="D10" s="15"/>
      <c r="H10" s="15"/>
    </row>
    <row r="11">
      <c r="A11" s="14"/>
      <c r="B11" s="14">
        <v>2015</v>
      </c>
      <c r="C11" s="14">
        <v>2016</v>
      </c>
      <c r="D11" s="14">
        <v>2017</v>
      </c>
      <c r="E11" s="14">
        <v>2018</v>
      </c>
      <c r="F11" s="14">
        <v>2019</v>
      </c>
      <c r="G11" s="14">
        <v>2020</v>
      </c>
      <c r="H11" s="14">
        <v>2021</v>
      </c>
      <c r="I11" s="14">
        <v>2022</v>
      </c>
      <c r="J11" s="14">
        <v>2023</v>
      </c>
      <c r="K11" s="14">
        <v>2024</v>
      </c>
      <c r="L11" s="14"/>
    </row>
    <row r="12">
      <c r="A12" s="14" t="str">
        <v>全球VC募资额（$B）</v>
      </c>
      <c r="B12" s="25">
        <v>120.4</v>
      </c>
      <c r="C12" s="23">
        <v>196.3</v>
      </c>
      <c r="D12" s="23">
        <v>198</v>
      </c>
      <c r="E12" s="23">
        <v>351</v>
      </c>
      <c r="F12" s="23">
        <v>266.7</v>
      </c>
      <c r="G12" s="23">
        <v>259.8</v>
      </c>
      <c r="H12" s="23">
        <v>379.8</v>
      </c>
      <c r="I12" s="23">
        <v>354.4</v>
      </c>
      <c r="J12" s="23">
        <v>218</v>
      </c>
      <c r="K12" s="23">
        <v>171</v>
      </c>
      <c r="L12" s="24"/>
    </row>
    <row r="13">
      <c r="A13" s="14" t="str">
        <v>全球PE募资额（$B）</v>
      </c>
      <c r="B13" s="27">
        <v>275.2</v>
      </c>
      <c r="C13" s="27">
        <v>341.5</v>
      </c>
      <c r="D13" s="27">
        <v>416</v>
      </c>
      <c r="E13" s="27">
        <v>419.3</v>
      </c>
      <c r="F13" s="27">
        <v>560.3</v>
      </c>
      <c r="G13" s="27">
        <v>490</v>
      </c>
      <c r="H13" s="27">
        <v>652.5</v>
      </c>
      <c r="I13" s="27">
        <v>599.8</v>
      </c>
      <c r="J13" s="27">
        <v>605.1</v>
      </c>
      <c r="K13" s="27">
        <v>507.9</v>
      </c>
      <c r="L13" s="29"/>
    </row>
    <row customHeight="true" ht="19" r="14">
      <c r="A14" s="15" t="str">
        <v>全球私募信贷募资额$B</v>
      </c>
      <c r="B14" s="15">
        <v>112</v>
      </c>
      <c r="C14" s="15">
        <v>126</v>
      </c>
      <c r="D14" s="15">
        <v>134</v>
      </c>
      <c r="E14" s="15">
        <v>137</v>
      </c>
      <c r="F14" s="15">
        <v>153</v>
      </c>
      <c r="G14" s="15">
        <v>193</v>
      </c>
      <c r="H14" s="15">
        <v>247</v>
      </c>
      <c r="I14" s="15">
        <v>230</v>
      </c>
      <c r="J14" s="15">
        <v>213</v>
      </c>
      <c r="K14" s="15">
        <v>166</v>
      </c>
      <c r="L14" s="15"/>
    </row>
    <row customHeight="true" ht="19" r="15">
      <c r="A15" s="15" t="str">
        <v>全球基础设施募资额$B</v>
      </c>
      <c r="B15" s="15">
        <v>120</v>
      </c>
      <c r="C15" s="15">
        <v>130</v>
      </c>
      <c r="D15" s="15">
        <v>141</v>
      </c>
      <c r="E15" s="15">
        <v>138</v>
      </c>
      <c r="F15" s="15">
        <v>144</v>
      </c>
      <c r="G15" s="15">
        <v>134</v>
      </c>
      <c r="H15" s="15">
        <v>163</v>
      </c>
      <c r="I15" s="15">
        <v>174</v>
      </c>
      <c r="J15" s="15">
        <v>125</v>
      </c>
      <c r="K15" s="15">
        <v>106</v>
      </c>
    </row>
    <row r="16">
      <c r="A16" s="15" t="str">
        <v>私募市场募资额</v>
      </c>
      <c r="B16">
        <f>SUM(B12:B15)</f>
      </c>
      <c r="C16">
        <f>SUM(C12:C15)</f>
      </c>
      <c r="D16">
        <f>SUM(D12:D15)</f>
      </c>
      <c r="E16">
        <f>SUM(E12:E15)</f>
      </c>
      <c r="F16">
        <f>SUM(F12:F15)</f>
      </c>
      <c r="G16">
        <f>SUM(G12:G15)</f>
      </c>
      <c r="H16">
        <f>SUM(H12:H15)</f>
      </c>
      <c r="I16">
        <f>SUM(I12:I15)</f>
      </c>
      <c r="J16">
        <f>SUM(J12:J15)</f>
      </c>
      <c r="K16">
        <f>SUM(K12:K15)</f>
      </c>
    </row>
    <row r="17"/>
    <row r="18">
      <c r="A18" s="15" t="str">
        <v>退出</v>
      </c>
      <c r="B18" s="15">
        <v>2015</v>
      </c>
      <c r="C18" s="15">
        <v>2016</v>
      </c>
      <c r="D18" s="15">
        <v>2017</v>
      </c>
      <c r="E18" s="15">
        <v>2018</v>
      </c>
      <c r="F18" s="15">
        <v>2019</v>
      </c>
      <c r="G18" s="15">
        <v>2020</v>
      </c>
      <c r="H18" s="15">
        <v>2021</v>
      </c>
      <c r="I18" s="15">
        <v>2022</v>
      </c>
      <c r="J18" s="15">
        <v>2023</v>
      </c>
      <c r="K18" s="15">
        <v>2024</v>
      </c>
    </row>
    <row r="19">
      <c r="A19" s="15" t="str">
        <v>全球一级市场退出规模$B</v>
      </c>
      <c r="B19" s="26">
        <v>201.9</v>
      </c>
      <c r="C19" s="27">
        <v>199.7</v>
      </c>
      <c r="D19" s="27">
        <v>266.6</v>
      </c>
      <c r="E19" s="27">
        <v>409.9</v>
      </c>
      <c r="F19" s="27">
        <v>460.4</v>
      </c>
      <c r="G19" s="27">
        <v>629.9</v>
      </c>
      <c r="H19" s="27">
        <v>1572.8</v>
      </c>
      <c r="I19" s="27">
        <v>454.5</v>
      </c>
      <c r="J19" s="27">
        <v>331.2</v>
      </c>
      <c r="K19" s="27">
        <v>322.8</v>
      </c>
      <c r="L19" s="28">
        <v>78.2</v>
      </c>
    </row>
    <row r="20">
      <c r="A20" s="15" t="str">
        <v>全球一级市场退出公司数量</v>
      </c>
      <c r="B20" s="32">
        <v>2319</v>
      </c>
      <c r="C20" s="30">
        <v>2218</v>
      </c>
      <c r="D20" s="30">
        <v>2364</v>
      </c>
      <c r="E20" s="30">
        <v>2586</v>
      </c>
      <c r="F20" s="30">
        <v>2813</v>
      </c>
      <c r="G20" s="30">
        <v>2951</v>
      </c>
      <c r="H20" s="30">
        <v>4649</v>
      </c>
      <c r="I20" s="30">
        <v>3772</v>
      </c>
      <c r="J20" s="30">
        <v>3055</v>
      </c>
      <c r="K20" s="30">
        <v>2906</v>
      </c>
      <c r="L20" s="31">
        <v>636</v>
      </c>
    </row>
    <row r="21">
      <c r="A21" s="15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  <col collapsed="false" customWidth="true" hidden="false" max="22" min="22" style="0" width="15"/>
    <col collapsed="false" customWidth="true" hidden="false" max="23" min="23" style="0" width="11"/>
    <col collapsed="false" customWidth="true" hidden="false" max="25" min="25" style="0" width="11"/>
    <col collapsed="false" customWidth="true" hidden="false" max="26" min="26" style="0" width="14"/>
    <col collapsed="false" customWidth="true" hidden="false" max="27" min="27" style="0" width="13"/>
    <col collapsed="false" customWidth="true" hidden="false" max="28" min="28" style="0" width="14"/>
    <col collapsed="false" customWidth="true" hidden="false" max="29" min="29" style="0" width="11"/>
    <col collapsed="false" customWidth="true" hidden="false" max="31" min="31" style="0" width="14"/>
  </cols>
  <sheetData>
    <row r="1">
      <c r="A1" s="15" t="str">
        <v>Page 3</v>
      </c>
      <c r="B1" s="15"/>
      <c r="C1" s="15"/>
      <c r="D1" s="15"/>
      <c r="E1" s="15"/>
      <c r="F1" s="15"/>
      <c r="G1" s="15"/>
      <c r="H1" s="15"/>
    </row>
    <row customHeight="true" ht="22"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>
      <c r="A3" s="14"/>
      <c r="B3" s="14">
        <v>1995</v>
      </c>
      <c r="C3" s="14">
        <v>1996</v>
      </c>
      <c r="D3" s="14"/>
      <c r="E3" s="14">
        <v>1997</v>
      </c>
      <c r="F3" s="14">
        <v>1998</v>
      </c>
      <c r="G3" s="14">
        <v>1999</v>
      </c>
      <c r="H3" s="14">
        <v>2000</v>
      </c>
      <c r="I3" s="14">
        <v>2001</v>
      </c>
      <c r="J3" s="14">
        <v>2002</v>
      </c>
      <c r="K3" s="14">
        <v>2003</v>
      </c>
      <c r="L3" s="14">
        <v>2004</v>
      </c>
      <c r="M3" s="14">
        <v>2005</v>
      </c>
      <c r="N3" s="14">
        <v>2006</v>
      </c>
      <c r="O3" s="14">
        <v>2007</v>
      </c>
      <c r="P3" s="14">
        <v>2008</v>
      </c>
      <c r="Q3" s="14">
        <v>2009</v>
      </c>
      <c r="R3" s="14">
        <v>2010</v>
      </c>
      <c r="S3" s="14">
        <v>2011</v>
      </c>
      <c r="T3" s="14">
        <v>2012</v>
      </c>
      <c r="U3" s="14">
        <v>2013</v>
      </c>
      <c r="V3" s="14">
        <v>2014</v>
      </c>
      <c r="W3" s="14">
        <v>2015</v>
      </c>
      <c r="X3" s="14">
        <v>2016</v>
      </c>
      <c r="Y3" s="14">
        <v>2017</v>
      </c>
      <c r="Z3" s="14">
        <v>2018</v>
      </c>
      <c r="AA3" s="14">
        <v>2019</v>
      </c>
      <c r="AB3" s="14">
        <v>2020</v>
      </c>
      <c r="AC3" s="14">
        <v>2021</v>
      </c>
      <c r="AD3" s="14">
        <v>2022</v>
      </c>
      <c r="AE3" s="14">
        <v>2023</v>
      </c>
      <c r="AF3" s="14">
        <v>2024</v>
      </c>
      <c r="AG3" s="14">
        <v>2025</v>
      </c>
    </row>
    <row r="4">
      <c r="A4" s="14" t="str">
        <v>全球VC基金募资额（$B）</v>
      </c>
      <c r="B4" s="14">
        <v>8</v>
      </c>
      <c r="C4" s="14">
        <v>11.2</v>
      </c>
      <c r="D4" s="14"/>
      <c r="E4" s="14">
        <v>14.8</v>
      </c>
      <c r="F4" s="14">
        <v>21.1</v>
      </c>
      <c r="G4" s="14">
        <v>54</v>
      </c>
      <c r="H4" s="14">
        <v>106.6</v>
      </c>
      <c r="I4" s="14">
        <v>38</v>
      </c>
      <c r="J4" s="14">
        <v>3.8</v>
      </c>
      <c r="K4" s="14">
        <v>10.6</v>
      </c>
      <c r="L4" s="14">
        <v>17.3</v>
      </c>
      <c r="M4" s="14">
        <v>25.2</v>
      </c>
      <c r="N4" s="14">
        <v>45</v>
      </c>
      <c r="O4" s="14">
        <v>51.8</v>
      </c>
      <c r="P4" s="14">
        <v>49</v>
      </c>
      <c r="Q4" s="14">
        <v>31.6</v>
      </c>
      <c r="R4" s="14">
        <v>39.8</v>
      </c>
      <c r="S4" s="14">
        <v>55.5</v>
      </c>
      <c r="T4" s="14">
        <v>59</v>
      </c>
      <c r="U4" s="14">
        <v>53</v>
      </c>
      <c r="V4" s="14">
        <v>84.2</v>
      </c>
      <c r="W4" s="14">
        <v>120.4</v>
      </c>
      <c r="X4" s="14">
        <v>196.3</v>
      </c>
      <c r="Y4" s="14">
        <v>198</v>
      </c>
      <c r="Z4" s="14">
        <v>351</v>
      </c>
      <c r="AA4" s="14">
        <v>266.7</v>
      </c>
      <c r="AB4" s="14">
        <v>259.8</v>
      </c>
      <c r="AC4" s="14">
        <v>379.8</v>
      </c>
      <c r="AD4" s="14">
        <v>354.4</v>
      </c>
      <c r="AE4" s="14">
        <v>218</v>
      </c>
      <c r="AF4" s="14">
        <v>171</v>
      </c>
      <c r="AG4" s="14">
        <v>17.4</v>
      </c>
    </row>
    <row customHeight="true" hidden="true" ht="19" r="5">
      <c r="A5" s="14" t="str">
        <v>Pooled IRR</v>
      </c>
      <c r="B5" s="34"/>
      <c r="C5" s="34"/>
      <c r="D5" s="34"/>
      <c r="E5" s="34"/>
      <c r="F5" s="34"/>
      <c r="G5" s="34"/>
      <c r="H5" s="34">
        <v>-0.0059</v>
      </c>
      <c r="I5" s="34">
        <v>0.0476</v>
      </c>
      <c r="J5" s="34">
        <v>0.0002</v>
      </c>
      <c r="K5" s="34">
        <v>0.0382</v>
      </c>
      <c r="L5" s="34">
        <v>0.0499</v>
      </c>
      <c r="M5" s="34">
        <v>0.0709</v>
      </c>
      <c r="N5" s="34">
        <v>0.0577</v>
      </c>
      <c r="O5" s="34">
        <v>0.1346</v>
      </c>
      <c r="P5" s="34">
        <v>0.1558</v>
      </c>
      <c r="Q5" s="34">
        <v>0.1197</v>
      </c>
      <c r="R5" s="34">
        <v>0.1261</v>
      </c>
      <c r="S5" s="34">
        <v>0.1961</v>
      </c>
      <c r="T5" s="34">
        <v>0.1758</v>
      </c>
      <c r="U5" s="34">
        <v>0.1821</v>
      </c>
      <c r="V5" s="34">
        <v>0.1791</v>
      </c>
      <c r="W5" s="34">
        <v>0.1518</v>
      </c>
      <c r="X5" s="34">
        <v>0.1806</v>
      </c>
      <c r="Y5" s="34">
        <v>0.1823</v>
      </c>
      <c r="Z5" s="34">
        <v>0.1827</v>
      </c>
      <c r="AA5" s="34">
        <v>0.1247</v>
      </c>
      <c r="AB5" s="34">
        <v>0.0863</v>
      </c>
      <c r="AC5" s="34">
        <v>0</v>
      </c>
      <c r="AD5" s="34">
        <v>0.0133</v>
      </c>
      <c r="AE5" s="34">
        <v>0.0256</v>
      </c>
      <c r="AF5" s="34">
        <v>0.019</v>
      </c>
      <c r="AG5" s="14"/>
    </row>
    <row customHeight="true" hidden="true" ht="19" r="6">
      <c r="A6" s="15" t="str">
        <v>环比变化</v>
      </c>
      <c r="C6" s="18">
        <f>(C4-B4)/B4</f>
      </c>
      <c r="D6" s="18"/>
      <c r="E6" s="18">
        <f>(E4-C4)/C4</f>
      </c>
      <c r="F6" s="18">
        <f>(F4-E4)/E4</f>
      </c>
      <c r="G6" s="18">
        <f>(G4-F4)/F4</f>
      </c>
      <c r="H6" s="18">
        <f>(H4-G4)/G4</f>
      </c>
      <c r="I6" s="18">
        <f>(I4-H4)/H4</f>
      </c>
      <c r="J6" s="18">
        <f>(J4-I4)/I4</f>
      </c>
      <c r="K6" s="18">
        <f>(K4-J4)/J4</f>
      </c>
      <c r="L6" s="18">
        <f>(L4-K4)/K4</f>
      </c>
      <c r="M6" s="18">
        <f>(M4-L4)/L4</f>
      </c>
      <c r="N6" s="18">
        <f>(N4-M4)/M4</f>
      </c>
      <c r="O6" s="18">
        <f>(O4-N4)/N4</f>
      </c>
      <c r="P6" s="18">
        <f>(P4-O4)/O4</f>
      </c>
      <c r="Q6" s="18">
        <f>(Q4-P4)/P4</f>
      </c>
      <c r="R6" s="18">
        <f>(R4-Q4)/Q4</f>
      </c>
      <c r="S6" s="18">
        <f>(S4-R4)/R4</f>
      </c>
      <c r="T6" s="18">
        <f>(T4-S4)/S4</f>
      </c>
      <c r="U6" s="18">
        <f>(U4-T4)/T4</f>
      </c>
      <c r="V6" s="18">
        <f>(V4-U4)/U4</f>
      </c>
      <c r="W6" s="18">
        <f>(W4-V4)/V4</f>
      </c>
      <c r="X6" s="18">
        <f>(X4-W4)/W4</f>
      </c>
      <c r="Y6" s="18">
        <f>(Y4-X4)/X4</f>
      </c>
      <c r="Z6" s="18">
        <f>(Z4-Y4)/Y4</f>
      </c>
      <c r="AA6" s="18">
        <f>(AA4-Z4)/Z4</f>
      </c>
      <c r="AB6" s="18">
        <f>(AB4-AA4)/AA4</f>
      </c>
      <c r="AC6" s="18">
        <f>(AC4-AB4)/AB4</f>
      </c>
      <c r="AD6" s="18">
        <f>(AD4-AC4)/AC4</f>
      </c>
      <c r="AE6" s="18">
        <f>(AE4-AD4)/AD4</f>
      </c>
      <c r="AF6" s="18">
        <f>(AF4-AE4)/AE4</f>
      </c>
    </row>
    <row customHeight="true" ht="19" r="7"/>
    <row customHeight="true" ht="22" r="8">
      <c r="A8" s="14"/>
      <c r="B8" s="14"/>
      <c r="C8" s="14"/>
      <c r="D8" s="14"/>
      <c r="E8" s="14"/>
      <c r="F8" s="14"/>
      <c r="G8" s="14"/>
      <c r="H8" s="14"/>
      <c r="I8" s="34"/>
    </row>
    <row customHeight="true" ht="22" r="9">
      <c r="A9" s="14" t="str">
        <v>IRR</v>
      </c>
      <c r="B9" s="14"/>
      <c r="C9" s="14"/>
      <c r="D9" s="14"/>
      <c r="E9" s="14"/>
      <c r="F9" s="14"/>
      <c r="G9" s="14"/>
      <c r="H9" s="14"/>
      <c r="I9" s="34"/>
    </row>
    <row customHeight="true" ht="22" r="10">
      <c r="B10" s="15" t="str">
        <v>Top Decile</v>
      </c>
      <c r="C10" s="15" t="str">
        <v>Top Quartile</v>
      </c>
      <c r="D10" s="15"/>
      <c r="E10" s="15" t="str">
        <v>Median IRR</v>
      </c>
      <c r="F10" s="15" t="str">
        <v>Bottom Quartile</v>
      </c>
      <c r="G10" s="15" t="str">
        <v>Bottom Decile</v>
      </c>
      <c r="H10" s="15" t="str">
        <v>Funds数量</v>
      </c>
      <c r="I10" s="34"/>
      <c r="J10" s="14"/>
      <c r="K10" s="14" t="str">
        <v>全球VC基金募资额（$B）</v>
      </c>
      <c r="L10" s="15"/>
      <c r="M10" s="15"/>
      <c r="N10" s="15"/>
      <c r="O10" s="15"/>
      <c r="P10" s="15"/>
      <c r="Q10" s="15"/>
      <c r="U10" s="15"/>
    </row>
    <row customHeight="true" ht="22" r="11">
      <c r="A11" s="38">
        <v>2000</v>
      </c>
      <c r="B11" s="37" t="s">
        <v>115</v>
      </c>
      <c r="C11" s="37" t="s">
        <v>118</v>
      </c>
      <c r="D11" s="37"/>
      <c r="E11" s="37" t="s">
        <v>116</v>
      </c>
      <c r="F11" s="37" t="s">
        <v>114</v>
      </c>
      <c r="G11" s="37" t="s">
        <v>119</v>
      </c>
      <c r="H11" s="38" t="s">
        <v>117</v>
      </c>
      <c r="I11" s="34"/>
      <c r="J11" s="14">
        <v>1995</v>
      </c>
      <c r="K11" s="14">
        <v>8</v>
      </c>
      <c r="L11" s="37"/>
      <c r="M11" s="37"/>
      <c r="N11" s="37"/>
      <c r="O11" s="37"/>
      <c r="P11" s="37"/>
      <c r="Q11" s="38"/>
      <c r="R11" s="38"/>
      <c r="S11" s="38"/>
      <c r="T11" s="38"/>
      <c r="U11" s="38"/>
    </row>
    <row customHeight="true" ht="22" r="12">
      <c r="A12" s="38">
        <v>2001</v>
      </c>
      <c r="B12" s="37" t="s">
        <v>48</v>
      </c>
      <c r="C12" s="37" t="s">
        <v>46</v>
      </c>
      <c r="D12" s="37"/>
      <c r="E12" s="37" t="s">
        <v>44</v>
      </c>
      <c r="F12" s="37" t="s">
        <v>47</v>
      </c>
      <c r="G12" s="37" t="s">
        <v>49</v>
      </c>
      <c r="H12" s="38" t="s">
        <v>45</v>
      </c>
      <c r="I12" s="34"/>
      <c r="J12" s="14">
        <v>1996</v>
      </c>
      <c r="K12" s="14">
        <v>11.2</v>
      </c>
      <c r="L12" s="37"/>
      <c r="M12" s="37"/>
      <c r="N12" s="37"/>
      <c r="O12" s="37"/>
      <c r="P12" s="37"/>
      <c r="Q12" s="38"/>
      <c r="R12" s="38"/>
      <c r="S12" s="38"/>
      <c r="T12" s="38"/>
      <c r="U12" s="38"/>
    </row>
    <row r="13">
      <c r="A13" s="38">
        <v>2002</v>
      </c>
      <c r="B13" s="37" t="s">
        <v>11</v>
      </c>
      <c r="C13" s="37" t="s">
        <v>8</v>
      </c>
      <c r="D13" s="37"/>
      <c r="E13" s="37" t="s">
        <v>12</v>
      </c>
      <c r="F13" s="37" t="s">
        <v>13</v>
      </c>
      <c r="G13" s="37" t="s">
        <v>10</v>
      </c>
      <c r="H13" s="38" t="s">
        <v>9</v>
      </c>
      <c r="I13" s="34"/>
      <c r="J13" s="14">
        <v>1997</v>
      </c>
      <c r="K13" s="14">
        <v>14.8</v>
      </c>
      <c r="L13" s="37"/>
      <c r="M13" s="37"/>
      <c r="N13" s="37"/>
      <c r="O13" s="37"/>
      <c r="P13" s="37"/>
      <c r="Q13" s="38"/>
      <c r="R13" s="38"/>
      <c r="S13" s="38"/>
      <c r="T13" s="38"/>
      <c r="U13" s="38"/>
    </row>
    <row r="14">
      <c r="A14" s="38">
        <v>2003</v>
      </c>
      <c r="B14" s="37" t="s">
        <v>53</v>
      </c>
      <c r="C14" s="37" t="s">
        <v>54</v>
      </c>
      <c r="D14" s="37"/>
      <c r="E14" s="37" t="s">
        <v>55</v>
      </c>
      <c r="F14" s="37" t="s">
        <v>56</v>
      </c>
      <c r="G14" s="37" t="s">
        <v>51</v>
      </c>
      <c r="H14" s="38" t="s">
        <v>52</v>
      </c>
      <c r="I14" s="34"/>
      <c r="J14" s="14">
        <v>1998</v>
      </c>
      <c r="K14" s="14">
        <v>21.1</v>
      </c>
      <c r="L14" s="37"/>
      <c r="M14" s="37"/>
      <c r="N14" s="37"/>
      <c r="O14" s="37"/>
      <c r="P14" s="37"/>
      <c r="Q14" s="38"/>
      <c r="R14" s="38"/>
      <c r="S14" s="38"/>
      <c r="T14" s="38"/>
      <c r="U14" s="38"/>
    </row>
    <row r="15">
      <c r="A15" s="38">
        <v>2004</v>
      </c>
      <c r="B15" s="37" t="s">
        <v>98</v>
      </c>
      <c r="C15" s="37" t="s">
        <v>101</v>
      </c>
      <c r="D15" s="37"/>
      <c r="E15" s="37" t="s">
        <v>102</v>
      </c>
      <c r="F15" s="37" t="s">
        <v>97</v>
      </c>
      <c r="G15" s="37" t="s">
        <v>99</v>
      </c>
      <c r="H15" s="38" t="s">
        <v>100</v>
      </c>
      <c r="I15" s="34"/>
      <c r="J15" s="14">
        <v>1999</v>
      </c>
      <c r="K15" s="14">
        <v>54</v>
      </c>
      <c r="L15" s="37"/>
      <c r="M15" s="37"/>
      <c r="N15" s="37"/>
      <c r="O15" s="37"/>
      <c r="P15" s="37"/>
      <c r="Q15" s="38"/>
      <c r="R15" s="38"/>
      <c r="S15" s="38"/>
      <c r="T15" s="38"/>
      <c r="U15" s="38"/>
    </row>
    <row r="16">
      <c r="A16" s="38">
        <v>2005</v>
      </c>
      <c r="B16" s="37" t="s">
        <v>125</v>
      </c>
      <c r="C16" s="37" t="s">
        <v>122</v>
      </c>
      <c r="D16" s="37"/>
      <c r="E16" s="37" t="s">
        <v>123</v>
      </c>
      <c r="F16" s="37" t="s">
        <v>120</v>
      </c>
      <c r="G16" s="37" t="s">
        <v>121</v>
      </c>
      <c r="H16" s="38" t="s">
        <v>124</v>
      </c>
      <c r="I16" s="34"/>
      <c r="J16" s="14">
        <v>2000</v>
      </c>
      <c r="K16" s="42">
        <v>106.6</v>
      </c>
      <c r="L16" s="37"/>
      <c r="M16" s="37"/>
      <c r="N16" s="37"/>
      <c r="O16" s="37"/>
      <c r="P16" s="37"/>
      <c r="Q16" s="38"/>
      <c r="R16" s="38"/>
      <c r="S16" s="38"/>
      <c r="T16" s="38"/>
      <c r="U16" s="38"/>
    </row>
    <row r="17">
      <c r="A17" s="38">
        <v>2006</v>
      </c>
      <c r="B17" s="37" t="s">
        <v>80</v>
      </c>
      <c r="C17" s="37" t="s">
        <v>81</v>
      </c>
      <c r="D17" s="37"/>
      <c r="E17" s="37" t="s">
        <v>83</v>
      </c>
      <c r="F17" s="37" t="s">
        <v>84</v>
      </c>
      <c r="G17" s="37" t="s">
        <v>82</v>
      </c>
      <c r="H17" s="38" t="s">
        <v>85</v>
      </c>
      <c r="I17" s="34"/>
      <c r="J17" s="14">
        <v>2001</v>
      </c>
      <c r="K17" s="14">
        <v>38</v>
      </c>
      <c r="L17" s="37"/>
      <c r="M17" s="37"/>
      <c r="N17" s="37"/>
      <c r="O17" s="37"/>
      <c r="P17" s="37"/>
      <c r="Q17" s="38"/>
      <c r="R17" s="38"/>
      <c r="S17" s="38"/>
      <c r="T17" s="38"/>
      <c r="U17" s="38"/>
    </row>
    <row r="18">
      <c r="A18" s="38">
        <v>2007</v>
      </c>
      <c r="B18" s="37" t="s">
        <v>38</v>
      </c>
      <c r="C18" s="37" t="s">
        <v>42</v>
      </c>
      <c r="D18" s="37"/>
      <c r="E18" s="37" t="s">
        <v>43</v>
      </c>
      <c r="F18" s="37" t="s">
        <v>39</v>
      </c>
      <c r="G18" s="37" t="s">
        <v>40</v>
      </c>
      <c r="H18" s="38" t="s">
        <v>41</v>
      </c>
      <c r="I18" s="34"/>
      <c r="J18" s="14">
        <v>2002</v>
      </c>
      <c r="K18" s="14">
        <v>3.8</v>
      </c>
      <c r="L18" s="37"/>
      <c r="M18" s="37"/>
      <c r="N18" s="37"/>
      <c r="O18" s="37"/>
      <c r="P18" s="37"/>
      <c r="Q18" s="38"/>
      <c r="R18" s="38"/>
      <c r="S18" s="38"/>
      <c r="T18" s="38"/>
      <c r="U18" s="38"/>
    </row>
    <row r="19">
      <c r="A19" s="38">
        <v>2008</v>
      </c>
      <c r="B19" s="37" t="s">
        <v>20</v>
      </c>
      <c r="C19" s="37" t="s">
        <v>24</v>
      </c>
      <c r="D19" s="37"/>
      <c r="E19" s="37" t="s">
        <v>21</v>
      </c>
      <c r="F19" s="37" t="s">
        <v>22</v>
      </c>
      <c r="G19" s="37" t="s">
        <v>25</v>
      </c>
      <c r="H19" s="38" t="s">
        <v>23</v>
      </c>
      <c r="I19" s="34"/>
      <c r="J19" s="14">
        <v>2003</v>
      </c>
      <c r="K19" s="14">
        <v>10.6</v>
      </c>
      <c r="L19" s="37"/>
      <c r="M19" s="37"/>
      <c r="N19" s="37"/>
      <c r="O19" s="37"/>
      <c r="P19" s="37"/>
      <c r="Q19" s="38"/>
      <c r="R19" s="38"/>
      <c r="S19" s="38"/>
      <c r="T19" s="38"/>
      <c r="U19" s="38"/>
    </row>
    <row r="20">
      <c r="A20" s="38">
        <v>2009</v>
      </c>
      <c r="B20" s="37" t="s">
        <v>14</v>
      </c>
      <c r="C20" s="37" t="s">
        <v>17</v>
      </c>
      <c r="D20" s="37"/>
      <c r="E20" s="37" t="s">
        <v>19</v>
      </c>
      <c r="F20" s="37" t="s">
        <v>15</v>
      </c>
      <c r="G20" s="37" t="s">
        <v>18</v>
      </c>
      <c r="H20" s="38" t="s">
        <v>16</v>
      </c>
      <c r="I20" s="34"/>
      <c r="J20" s="14">
        <v>2004</v>
      </c>
      <c r="K20" s="14">
        <v>17.3</v>
      </c>
      <c r="L20" s="37"/>
      <c r="M20" s="37"/>
      <c r="N20" s="37"/>
      <c r="O20" s="37"/>
      <c r="P20" s="37"/>
      <c r="Q20" s="38"/>
      <c r="R20" s="38"/>
      <c r="S20" s="38"/>
      <c r="T20" s="38"/>
      <c r="U20" s="38"/>
    </row>
    <row r="21">
      <c r="A21" s="38">
        <v>2010</v>
      </c>
      <c r="B21" s="37" t="s">
        <v>63</v>
      </c>
      <c r="C21" s="37" t="s">
        <v>64</v>
      </c>
      <c r="D21" s="37"/>
      <c r="E21" s="37" t="s">
        <v>68</v>
      </c>
      <c r="F21" s="37" t="s">
        <v>65</v>
      </c>
      <c r="G21" s="37" t="s">
        <v>66</v>
      </c>
      <c r="H21" s="38" t="s">
        <v>67</v>
      </c>
      <c r="I21" s="34"/>
      <c r="J21" s="14">
        <v>2005</v>
      </c>
      <c r="K21" s="14">
        <v>25.2</v>
      </c>
      <c r="L21" s="37"/>
      <c r="M21" s="37"/>
      <c r="N21" s="37"/>
      <c r="O21" s="37"/>
      <c r="P21" s="37"/>
      <c r="Q21" s="38"/>
      <c r="R21" s="38"/>
      <c r="S21" s="38"/>
      <c r="T21" s="38"/>
      <c r="U21" s="38"/>
    </row>
    <row r="22">
      <c r="A22" s="38">
        <v>2011</v>
      </c>
      <c r="B22" s="37" t="s">
        <v>26</v>
      </c>
      <c r="C22" s="37" t="s">
        <v>28</v>
      </c>
      <c r="D22" s="37"/>
      <c r="E22" s="37" t="s">
        <v>31</v>
      </c>
      <c r="F22" s="37" t="s">
        <v>27</v>
      </c>
      <c r="G22" s="37" t="s">
        <v>29</v>
      </c>
      <c r="H22" s="38" t="s">
        <v>30</v>
      </c>
      <c r="I22" s="34"/>
      <c r="J22" s="14">
        <v>2006</v>
      </c>
      <c r="K22" s="14">
        <v>45</v>
      </c>
      <c r="L22" s="37"/>
      <c r="M22" s="37"/>
      <c r="N22" s="37"/>
      <c r="O22" s="37"/>
      <c r="P22" s="37"/>
      <c r="Q22" s="38"/>
      <c r="R22" s="38"/>
      <c r="S22" s="38"/>
      <c r="T22" s="38"/>
      <c r="U22" s="38"/>
    </row>
    <row r="23">
      <c r="A23" s="38">
        <v>2012</v>
      </c>
      <c r="B23" s="39" t="s">
        <v>134</v>
      </c>
      <c r="C23" s="39" t="s">
        <v>135</v>
      </c>
      <c r="D23" s="39"/>
      <c r="E23" s="39" t="s">
        <v>131</v>
      </c>
      <c r="F23" s="39" t="s">
        <v>133</v>
      </c>
      <c r="G23" s="39" t="s">
        <v>132</v>
      </c>
      <c r="H23" s="38" t="s">
        <v>136</v>
      </c>
      <c r="I23" s="34"/>
      <c r="J23" s="14">
        <v>2007</v>
      </c>
      <c r="K23" s="14">
        <v>51.8</v>
      </c>
      <c r="L23" s="37"/>
      <c r="M23" s="37"/>
      <c r="N23" s="37"/>
      <c r="O23" s="37"/>
      <c r="P23" s="37"/>
      <c r="Q23" s="38"/>
      <c r="R23" s="38"/>
      <c r="S23" s="38"/>
      <c r="T23" s="38"/>
      <c r="U23" s="38"/>
    </row>
    <row r="24">
      <c r="A24" s="38">
        <v>2013</v>
      </c>
      <c r="B24" s="37" t="s">
        <v>32</v>
      </c>
      <c r="C24" s="37" t="s">
        <v>33</v>
      </c>
      <c r="D24" s="37"/>
      <c r="E24" s="37" t="s">
        <v>35</v>
      </c>
      <c r="F24" s="37" t="s">
        <v>36</v>
      </c>
      <c r="G24" s="37" t="s">
        <v>37</v>
      </c>
      <c r="H24" s="38" t="s">
        <v>34</v>
      </c>
      <c r="J24" s="14">
        <v>2008</v>
      </c>
      <c r="K24" s="14">
        <v>49</v>
      </c>
      <c r="L24" s="37"/>
      <c r="M24" s="37"/>
      <c r="N24" s="37"/>
      <c r="O24" s="37"/>
      <c r="P24" s="37"/>
      <c r="Q24" s="38"/>
      <c r="R24" s="38"/>
      <c r="S24" s="38"/>
      <c r="T24" s="38"/>
      <c r="U24" s="38"/>
    </row>
    <row r="25">
      <c r="A25" s="38">
        <v>2014</v>
      </c>
      <c r="B25" s="37" t="s">
        <v>137</v>
      </c>
      <c r="C25" s="37" t="s">
        <v>140</v>
      </c>
      <c r="D25" s="37"/>
      <c r="E25" s="37" t="s">
        <v>141</v>
      </c>
      <c r="F25" s="37" t="s">
        <v>139</v>
      </c>
      <c r="G25" s="37" t="s">
        <v>138</v>
      </c>
      <c r="H25" s="38" t="s">
        <v>109</v>
      </c>
      <c r="J25" s="14">
        <v>2009</v>
      </c>
      <c r="K25" s="14">
        <v>31.6</v>
      </c>
      <c r="L25" s="37"/>
      <c r="M25" s="37"/>
      <c r="N25" s="37"/>
      <c r="O25" s="37"/>
      <c r="P25" s="37"/>
      <c r="Q25" s="38"/>
      <c r="R25" s="38"/>
      <c r="S25" s="38"/>
      <c r="T25" s="38"/>
      <c r="U25" s="38"/>
    </row>
    <row r="26">
      <c r="A26" s="38">
        <v>2015</v>
      </c>
      <c r="B26" s="37" t="s">
        <v>103</v>
      </c>
      <c r="C26" s="37" t="s">
        <v>107</v>
      </c>
      <c r="D26" s="37"/>
      <c r="E26" s="37" t="s">
        <v>104</v>
      </c>
      <c r="F26" s="37" t="s">
        <v>106</v>
      </c>
      <c r="G26" s="37" t="s">
        <v>105</v>
      </c>
      <c r="H26" s="38" t="s">
        <v>88</v>
      </c>
      <c r="J26" s="14">
        <v>2010</v>
      </c>
      <c r="K26" s="14">
        <v>39.8</v>
      </c>
      <c r="L26" s="37"/>
      <c r="M26" s="37"/>
      <c r="N26" s="37"/>
      <c r="O26" s="37"/>
      <c r="P26" s="37"/>
      <c r="Q26" s="38"/>
      <c r="R26" s="38"/>
      <c r="S26" s="38"/>
      <c r="T26" s="38"/>
      <c r="U26" s="38"/>
    </row>
    <row r="27">
      <c r="A27" s="38">
        <v>2016</v>
      </c>
      <c r="B27" s="37" t="s">
        <v>110</v>
      </c>
      <c r="C27" s="37" t="s">
        <v>111</v>
      </c>
      <c r="D27" s="37"/>
      <c r="E27" s="37" t="s">
        <v>113</v>
      </c>
      <c r="F27" s="37" t="s">
        <v>108</v>
      </c>
      <c r="G27" s="37" t="s">
        <v>112</v>
      </c>
      <c r="H27" s="38" t="s">
        <v>109</v>
      </c>
      <c r="J27" s="14">
        <v>2011</v>
      </c>
      <c r="K27" s="14">
        <v>55.5</v>
      </c>
      <c r="L27" s="37"/>
      <c r="M27" s="37"/>
      <c r="N27" s="37"/>
      <c r="O27" s="37"/>
      <c r="P27" s="37"/>
      <c r="Q27" s="38"/>
      <c r="R27" s="38"/>
      <c r="S27" s="38"/>
      <c r="T27" s="38"/>
      <c r="U27" s="38"/>
    </row>
    <row r="28">
      <c r="A28" s="38">
        <v>2017</v>
      </c>
      <c r="B28" s="37" t="s">
        <v>95</v>
      </c>
      <c r="C28" s="37" t="s">
        <v>96</v>
      </c>
      <c r="D28" s="37"/>
      <c r="E28" s="37" t="s">
        <v>93</v>
      </c>
      <c r="F28" s="37" t="s">
        <v>91</v>
      </c>
      <c r="G28" s="37" t="s">
        <v>92</v>
      </c>
      <c r="H28" s="38" t="s">
        <v>94</v>
      </c>
      <c r="J28" s="14">
        <v>2012</v>
      </c>
      <c r="K28" s="14">
        <v>59</v>
      </c>
      <c r="L28" s="37"/>
      <c r="M28" s="37"/>
      <c r="N28" s="37"/>
      <c r="O28" s="37"/>
      <c r="P28" s="37"/>
      <c r="Q28" s="38"/>
      <c r="R28" s="38"/>
      <c r="S28" s="38"/>
      <c r="T28" s="38"/>
      <c r="U28" s="38"/>
    </row>
    <row r="29">
      <c r="A29" s="38">
        <v>2018</v>
      </c>
      <c r="B29" s="39" t="s">
        <v>3</v>
      </c>
      <c r="C29" s="39" t="s">
        <v>4</v>
      </c>
      <c r="D29" s="39"/>
      <c r="E29" s="39" t="s">
        <v>5</v>
      </c>
      <c r="F29" s="39" t="s">
        <v>2</v>
      </c>
      <c r="G29" s="39" t="s">
        <v>6</v>
      </c>
      <c r="H29" s="38" t="s">
        <v>7</v>
      </c>
      <c r="J29" s="14">
        <v>2013</v>
      </c>
      <c r="K29" s="14">
        <v>53</v>
      </c>
      <c r="L29" s="37"/>
      <c r="M29" s="37"/>
      <c r="N29" s="37"/>
      <c r="O29" s="37"/>
      <c r="P29" s="37"/>
      <c r="Q29" s="38"/>
      <c r="R29" s="38"/>
      <c r="S29" s="38"/>
      <c r="T29" s="38"/>
      <c r="U29" s="38"/>
    </row>
    <row r="30">
      <c r="A30" s="38">
        <v>2019</v>
      </c>
      <c r="B30" s="37" t="s">
        <v>71</v>
      </c>
      <c r="C30" s="37" t="s">
        <v>72</v>
      </c>
      <c r="D30" s="37"/>
      <c r="E30" s="37" t="s">
        <v>73</v>
      </c>
      <c r="F30" s="37" t="s">
        <v>70</v>
      </c>
      <c r="G30" s="37" t="s">
        <v>69</v>
      </c>
      <c r="H30" s="38" t="s">
        <v>7</v>
      </c>
      <c r="J30" s="14">
        <v>2014</v>
      </c>
      <c r="K30" s="14">
        <v>84.2</v>
      </c>
      <c r="L30" s="37"/>
      <c r="M30" s="37"/>
      <c r="N30" s="37"/>
      <c r="O30" s="37"/>
      <c r="P30" s="37"/>
      <c r="Q30" s="38"/>
      <c r="R30" s="38"/>
      <c r="S30" s="38"/>
      <c r="T30" s="38"/>
      <c r="U30" s="38"/>
    </row>
    <row r="31">
      <c r="A31" s="38">
        <v>2020</v>
      </c>
      <c r="B31" s="37" t="s">
        <v>87</v>
      </c>
      <c r="C31" s="37" t="s">
        <v>90</v>
      </c>
      <c r="D31" s="37"/>
      <c r="E31" s="37" t="s">
        <v>68</v>
      </c>
      <c r="F31" s="37" t="s">
        <v>86</v>
      </c>
      <c r="G31" s="37" t="s">
        <v>89</v>
      </c>
      <c r="H31" s="38" t="s">
        <v>88</v>
      </c>
      <c r="J31" s="14">
        <v>2015</v>
      </c>
      <c r="K31" s="14">
        <v>120.4</v>
      </c>
      <c r="L31" s="37"/>
      <c r="M31" s="37"/>
      <c r="N31" s="37"/>
      <c r="O31" s="37"/>
      <c r="P31" s="37"/>
      <c r="Q31" s="38"/>
      <c r="R31" s="38"/>
      <c r="S31" s="38"/>
      <c r="T31" s="38"/>
      <c r="U31" s="38"/>
    </row>
    <row r="32">
      <c r="A32" s="38">
        <v>2021</v>
      </c>
      <c r="B32" s="37" t="s">
        <v>59</v>
      </c>
      <c r="C32" s="37" t="s">
        <v>57</v>
      </c>
      <c r="D32" s="37"/>
      <c r="E32" s="37" t="s">
        <v>58</v>
      </c>
      <c r="F32" s="37" t="s">
        <v>60</v>
      </c>
      <c r="G32" s="37" t="s">
        <v>61</v>
      </c>
      <c r="H32" s="38" t="s">
        <v>62</v>
      </c>
      <c r="J32" s="14">
        <v>2016</v>
      </c>
      <c r="K32" s="14">
        <v>196.3</v>
      </c>
      <c r="L32" s="37"/>
      <c r="M32" s="37"/>
      <c r="N32" s="37"/>
      <c r="O32" s="37"/>
      <c r="P32" s="37"/>
      <c r="Q32" s="38"/>
      <c r="R32" s="38"/>
      <c r="S32" s="38"/>
      <c r="T32" s="38"/>
      <c r="U32" s="38"/>
    </row>
    <row r="33">
      <c r="A33" s="38">
        <v>2022</v>
      </c>
      <c r="B33" s="37" t="s">
        <v>78</v>
      </c>
      <c r="C33" s="37" t="s">
        <v>76</v>
      </c>
      <c r="D33" s="37"/>
      <c r="E33" s="37" t="s">
        <v>74</v>
      </c>
      <c r="F33" s="37" t="s">
        <v>77</v>
      </c>
      <c r="G33" s="37" t="s">
        <v>79</v>
      </c>
      <c r="H33" s="38" t="s">
        <v>75</v>
      </c>
      <c r="J33" s="14">
        <v>2017</v>
      </c>
      <c r="K33" s="14">
        <v>198</v>
      </c>
      <c r="L33" s="37"/>
      <c r="M33" s="37"/>
      <c r="N33" s="37"/>
      <c r="O33" s="37"/>
      <c r="P33" s="37"/>
      <c r="Q33" s="38"/>
      <c r="R33" s="38"/>
      <c r="S33" s="38"/>
      <c r="T33" s="38"/>
      <c r="U33" s="38"/>
    </row>
    <row r="34">
      <c r="A34" s="38">
        <v>2023</v>
      </c>
      <c r="B34" s="39" t="s">
        <v>126</v>
      </c>
      <c r="C34" s="39" t="s">
        <v>127</v>
      </c>
      <c r="D34" s="39"/>
      <c r="E34" s="39" t="s">
        <v>128</v>
      </c>
      <c r="F34" s="39" t="s">
        <v>130</v>
      </c>
      <c r="G34" s="39" t="s">
        <v>129</v>
      </c>
      <c r="H34" s="38" t="s">
        <v>100</v>
      </c>
      <c r="J34" s="14">
        <v>2018</v>
      </c>
      <c r="K34" s="42">
        <v>351</v>
      </c>
      <c r="L34" s="37"/>
      <c r="M34" s="37"/>
      <c r="N34" s="37"/>
      <c r="O34" s="37"/>
      <c r="P34" s="37"/>
      <c r="Q34" s="38"/>
      <c r="R34" s="38"/>
      <c r="S34" s="38"/>
      <c r="T34" s="38"/>
      <c r="U34" s="38"/>
    </row>
    <row r="35">
      <c r="A35" s="14"/>
      <c r="B35" s="44"/>
      <c r="C35" s="44"/>
      <c r="D35" s="44"/>
      <c r="E35" s="44"/>
      <c r="F35" s="44"/>
      <c r="G35" s="44"/>
      <c r="J35" s="14">
        <v>2019</v>
      </c>
      <c r="K35" s="14">
        <v>266.7</v>
      </c>
    </row>
    <row r="36">
      <c r="A36" s="14"/>
      <c r="J36" s="14">
        <v>2020</v>
      </c>
      <c r="K36" s="14">
        <v>259.8</v>
      </c>
    </row>
    <row r="37">
      <c r="A37" s="14"/>
      <c r="J37" s="14">
        <v>2021</v>
      </c>
      <c r="K37" s="42">
        <v>379.8</v>
      </c>
    </row>
    <row r="38">
      <c r="A38" s="14"/>
      <c r="J38" s="14">
        <v>2022</v>
      </c>
      <c r="K38" s="14">
        <v>354.4</v>
      </c>
    </row>
    <row r="39">
      <c r="J39" s="14">
        <v>2023</v>
      </c>
      <c r="K39" s="14">
        <v>218</v>
      </c>
    </row>
    <row r="40">
      <c r="J40" s="14">
        <v>2024</v>
      </c>
      <c r="K40" s="14">
        <v>171</v>
      </c>
    </row>
    <row r="41">
      <c r="J41" s="14">
        <v>2025</v>
      </c>
      <c r="K41" s="14">
        <v>17.4</v>
      </c>
    </row>
    <row r="42"/>
    <row r="43"/>
    <row r="44"/>
    <row r="45">
      <c r="A45" s="15" t="str">
        <v>Page 4</v>
      </c>
    </row>
    <row r="46"/>
    <row r="47">
      <c r="A47" s="15" t="str">
        <v>投资</v>
      </c>
    </row>
    <row r="48"/>
    <row r="49">
      <c r="B49" s="14">
        <v>2015</v>
      </c>
      <c r="C49" s="14">
        <v>2016</v>
      </c>
      <c r="D49" s="14"/>
      <c r="E49" s="14">
        <v>2017</v>
      </c>
      <c r="F49" s="14">
        <v>2018</v>
      </c>
      <c r="G49" s="14">
        <v>2019</v>
      </c>
      <c r="H49" s="14">
        <v>2020</v>
      </c>
      <c r="I49" s="14">
        <v>2021</v>
      </c>
      <c r="J49" s="14">
        <v>2022</v>
      </c>
      <c r="K49" s="14">
        <v>2023</v>
      </c>
      <c r="L49" s="14">
        <v>2024</v>
      </c>
      <c r="M49" s="14">
        <v>2025</v>
      </c>
      <c r="N49" s="14"/>
      <c r="O49" s="14"/>
      <c r="P49" s="14"/>
      <c r="Q49" s="14"/>
      <c r="R49" s="14"/>
    </row>
    <row customHeight="true" ht="22" r="50">
      <c r="A50" s="36" t="str">
        <v>北美VC投资额</v>
      </c>
      <c r="B50" s="25">
        <v>89.4</v>
      </c>
      <c r="C50" s="23">
        <v>86</v>
      </c>
      <c r="D50" s="23"/>
      <c r="E50" s="23">
        <v>94.5</v>
      </c>
      <c r="F50" s="23">
        <v>151.7</v>
      </c>
      <c r="G50" s="23">
        <v>160.7</v>
      </c>
      <c r="H50" s="23">
        <v>180.5</v>
      </c>
      <c r="I50" s="23">
        <v>372.1</v>
      </c>
      <c r="J50" s="23">
        <v>245.2</v>
      </c>
      <c r="K50" s="23">
        <v>170.1</v>
      </c>
      <c r="L50" s="23">
        <v>220.7</v>
      </c>
      <c r="M50" s="24">
        <v>93</v>
      </c>
      <c r="N50" s="35" t="str">
        <v>叠涂</v>
      </c>
      <c r="O50" s="27"/>
      <c r="P50" s="27"/>
      <c r="Q50" s="27"/>
      <c r="R50" s="29"/>
    </row>
    <row customHeight="true" ht="22" r="51">
      <c r="A51" s="36" t="str">
        <v>欧洲VC投资额</v>
      </c>
      <c r="B51" s="50">
        <v>22</v>
      </c>
      <c r="C51" s="49">
        <v>22.2</v>
      </c>
      <c r="D51" s="49"/>
      <c r="E51" s="49">
        <v>29.6</v>
      </c>
      <c r="F51" s="49">
        <v>38.1</v>
      </c>
      <c r="G51" s="49">
        <v>47</v>
      </c>
      <c r="H51" s="49">
        <v>58.6</v>
      </c>
      <c r="I51" s="49">
        <v>125.3</v>
      </c>
      <c r="J51" s="49">
        <v>105.5</v>
      </c>
      <c r="K51" s="49">
        <v>67.7</v>
      </c>
      <c r="L51" s="49">
        <v>65.5</v>
      </c>
      <c r="M51" s="51">
        <v>17.9</v>
      </c>
      <c r="N51" s="27"/>
      <c r="O51" s="27"/>
      <c r="P51" s="27"/>
      <c r="Q51" s="27"/>
      <c r="R51" s="29"/>
    </row>
    <row customHeight="true" ht="22" r="52">
      <c r="A52" s="36" t="str">
        <v>亚洲VC投资额</v>
      </c>
      <c r="B52" s="26">
        <v>71.2</v>
      </c>
      <c r="C52" s="27">
        <v>89.9</v>
      </c>
      <c r="D52" s="27"/>
      <c r="E52" s="27">
        <v>91.8</v>
      </c>
      <c r="F52" s="27">
        <v>154</v>
      </c>
      <c r="G52" s="27">
        <v>123.6</v>
      </c>
      <c r="H52" s="27">
        <v>129.5</v>
      </c>
      <c r="I52" s="27">
        <v>222.7</v>
      </c>
      <c r="J52" s="27">
        <v>148.1</v>
      </c>
      <c r="K52" s="27">
        <v>100.7</v>
      </c>
      <c r="L52" s="27">
        <v>77.5</v>
      </c>
      <c r="M52" s="29">
        <v>12.2</v>
      </c>
      <c r="N52" s="27"/>
      <c r="O52" s="27"/>
      <c r="P52" s="27"/>
      <c r="Q52" s="27"/>
      <c r="R52" s="29"/>
    </row>
    <row customHeight="true" ht="22" r="53">
      <c r="A53" s="36" t="str">
        <v>其他地区</v>
      </c>
      <c r="B53" s="41">
        <f>2.2+0.9</f>
      </c>
      <c r="C53" s="35">
        <f>1.8+0.8</f>
      </c>
      <c r="D53" s="35"/>
      <c r="E53" s="35">
        <f>1.7+2.9</f>
      </c>
      <c r="F53" s="35">
        <f>2.8+4.3</f>
      </c>
      <c r="G53" s="35">
        <v>8.5</v>
      </c>
      <c r="H53" s="35">
        <f>5.1+4.6</f>
      </c>
      <c r="I53" s="35">
        <f>15.8+13.7</f>
      </c>
      <c r="J53" s="35">
        <f>16+9.2</f>
      </c>
      <c r="K53" s="35">
        <v>14.4</v>
      </c>
      <c r="L53" s="35">
        <v>13.2</v>
      </c>
      <c r="M53" s="43">
        <v>3.2</v>
      </c>
      <c r="N53" s="27"/>
      <c r="O53" s="27"/>
      <c r="P53" s="27"/>
      <c r="Q53" s="27"/>
      <c r="R53" s="29"/>
    </row>
    <row customHeight="true" ht="22" r="54">
      <c r="A54" s="14" t="str">
        <v>总</v>
      </c>
      <c r="B54" s="41">
        <f>SUM(B50:B53)</f>
      </c>
      <c r="C54" s="41">
        <f>SUM(C50:C53)</f>
      </c>
      <c r="D54" s="41"/>
      <c r="E54" s="41">
        <f>SUM(E50:E53)</f>
      </c>
      <c r="F54" s="41">
        <f>SUM(F50:F53)</f>
      </c>
      <c r="G54" s="41">
        <f>SUM(G50:G53)</f>
      </c>
      <c r="H54" s="41">
        <f>SUM(H50:H53)</f>
      </c>
      <c r="I54" s="41">
        <f>SUM(I50:I53)</f>
      </c>
      <c r="J54" s="41">
        <f>SUM(J50:J53)</f>
      </c>
      <c r="K54" s="41">
        <f>SUM(K50:K53)</f>
      </c>
      <c r="L54" s="41">
        <f>SUM(L50:L53)</f>
      </c>
      <c r="M54" s="41">
        <f>SUM(M50:M53)</f>
      </c>
      <c r="N54" s="27"/>
      <c r="O54" s="27"/>
      <c r="P54" s="27"/>
      <c r="Q54" s="27"/>
      <c r="R54" s="29"/>
    </row>
    <row customHeight="true" ht="22" r="55">
      <c r="A55" s="14"/>
      <c r="B55" s="46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7"/>
      <c r="N55" s="27"/>
      <c r="O55" s="27"/>
      <c r="P55" s="27"/>
      <c r="Q55" s="27"/>
      <c r="R55" s="29"/>
    </row>
    <row r="56">
      <c r="A56" s="14" t="str">
        <v>Top 10 deals集中度</v>
      </c>
      <c r="B56" s="46">
        <v>0.16</v>
      </c>
      <c r="C56" s="45">
        <v>0.22</v>
      </c>
      <c r="D56" s="45"/>
      <c r="E56" s="45">
        <v>0.11</v>
      </c>
      <c r="F56" s="45">
        <v>0.12</v>
      </c>
      <c r="G56" s="45">
        <v>0.17</v>
      </c>
      <c r="H56" s="45">
        <v>0.12</v>
      </c>
      <c r="I56" s="45">
        <v>0.1</v>
      </c>
      <c r="J56" s="45">
        <v>0.08</v>
      </c>
      <c r="K56" s="45">
        <v>0.25</v>
      </c>
      <c r="L56" s="45">
        <v>0.33</v>
      </c>
      <c r="M56" s="47">
        <v>0.52</v>
      </c>
      <c r="N56" s="35" t="str">
        <v>加个折线</v>
      </c>
      <c r="O56" s="27"/>
      <c r="P56" s="27"/>
      <c r="Q56" s="27"/>
      <c r="R56" s="29"/>
    </row>
    <row customHeight="true" ht="19"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>
      <c r="A58" s="15" t="str">
        <v>一级市场独角兽公司数量</v>
      </c>
      <c r="B58" s="15">
        <v>176</v>
      </c>
      <c r="C58" s="15">
        <v>219</v>
      </c>
      <c r="D58" s="15"/>
      <c r="E58" s="15">
        <v>267</v>
      </c>
      <c r="F58" s="15">
        <v>394</v>
      </c>
      <c r="G58" s="15">
        <v>495</v>
      </c>
      <c r="H58" s="15">
        <v>592</v>
      </c>
      <c r="I58" s="15">
        <v>1069</v>
      </c>
      <c r="J58" s="15">
        <v>1354</v>
      </c>
      <c r="K58" s="15">
        <v>1392</v>
      </c>
      <c r="L58" s="15">
        <v>1420</v>
      </c>
      <c r="N58" s="15" t="str">
        <v>柱状图</v>
      </c>
    </row>
    <row r="59">
      <c r="B59" s="14"/>
      <c r="C59" s="14"/>
      <c r="D59" s="14"/>
      <c r="E59" s="14"/>
      <c r="F59" s="14"/>
      <c r="G59" s="14"/>
      <c r="H59" s="14"/>
      <c r="I59" s="14"/>
    </row>
    <row r="60">
      <c r="A60" s="15" t="str">
        <v>退出</v>
      </c>
    </row>
    <row r="61">
      <c r="B61" s="14">
        <v>2015</v>
      </c>
      <c r="C61" s="14">
        <v>2016</v>
      </c>
      <c r="D61" s="14"/>
      <c r="E61" s="14">
        <v>2017</v>
      </c>
      <c r="F61" s="14">
        <v>2018</v>
      </c>
      <c r="G61" s="14">
        <v>2019</v>
      </c>
      <c r="H61" s="14">
        <v>2020</v>
      </c>
      <c r="I61" s="14">
        <v>2021</v>
      </c>
      <c r="J61" s="14">
        <v>2022</v>
      </c>
      <c r="K61" s="14">
        <v>2023</v>
      </c>
      <c r="L61" s="14">
        <v>2024</v>
      </c>
      <c r="M61" s="14">
        <v>2025</v>
      </c>
    </row>
    <row r="62">
      <c r="A62" s="14" t="str">
        <v>全球VC退出规模（$B）</v>
      </c>
      <c r="B62" s="26">
        <v>201.9</v>
      </c>
      <c r="C62" s="27">
        <v>199.7</v>
      </c>
      <c r="D62" s="27"/>
      <c r="E62" s="27">
        <v>266.6</v>
      </c>
      <c r="F62" s="27">
        <v>409.9</v>
      </c>
      <c r="G62" s="27">
        <v>460.4</v>
      </c>
      <c r="H62" s="27">
        <v>629.9</v>
      </c>
      <c r="I62" s="27">
        <v>1572.8</v>
      </c>
      <c r="J62" s="27">
        <v>454.5</v>
      </c>
      <c r="K62" s="27">
        <v>331.2</v>
      </c>
      <c r="L62" s="27">
        <v>322.8</v>
      </c>
      <c r="M62" s="29">
        <v>78.2</v>
      </c>
      <c r="N62" s="15" t="str">
        <v>柱状图</v>
      </c>
    </row>
    <row customHeight="true" ht="19"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customHeight="true" ht="19" r="64">
      <c r="A64" s="15" t="str">
        <v>数量</v>
      </c>
      <c r="B64" s="14">
        <v>2015</v>
      </c>
      <c r="C64" s="14">
        <v>2016</v>
      </c>
      <c r="D64" s="14"/>
      <c r="E64" s="14">
        <v>2017</v>
      </c>
      <c r="F64" s="14">
        <v>2018</v>
      </c>
      <c r="G64" s="14">
        <v>2019</v>
      </c>
      <c r="H64" s="14">
        <v>2020</v>
      </c>
      <c r="I64" s="14">
        <v>2021</v>
      </c>
      <c r="J64" s="14">
        <v>2022</v>
      </c>
      <c r="K64" s="14">
        <v>2023</v>
      </c>
      <c r="L64" s="14">
        <v>2024</v>
      </c>
      <c r="M64" s="14">
        <v>2025</v>
      </c>
    </row>
    <row customHeight="true" ht="19" r="65">
      <c r="A65" s="15" t="str">
        <v>5亿美金估值以上的公司</v>
      </c>
      <c r="B65" s="15">
        <v>219</v>
      </c>
      <c r="C65" s="15">
        <v>256</v>
      </c>
      <c r="D65" s="15"/>
      <c r="E65" s="15">
        <v>304</v>
      </c>
      <c r="F65" s="15">
        <v>379</v>
      </c>
      <c r="G65" s="15">
        <v>464</v>
      </c>
      <c r="H65" s="15">
        <v>566</v>
      </c>
      <c r="I65" s="15">
        <v>936</v>
      </c>
      <c r="J65" s="15">
        <v>1206</v>
      </c>
      <c r="K65" s="15">
        <v>1254</v>
      </c>
      <c r="L65" s="15">
        <v>1308</v>
      </c>
      <c r="N65" s="15" t="str">
        <v>两个柱</v>
      </c>
    </row>
    <row customHeight="true" ht="19" r="66">
      <c r="A66" s="15" t="str">
        <v>5亿美金以上估值退出的公司</v>
      </c>
      <c r="B66" s="15">
        <v>35</v>
      </c>
      <c r="C66" s="15">
        <v>33</v>
      </c>
      <c r="D66" s="15"/>
      <c r="E66" s="15">
        <v>46</v>
      </c>
      <c r="F66" s="15">
        <v>52</v>
      </c>
      <c r="G66" s="15">
        <v>61</v>
      </c>
      <c r="H66" s="15">
        <v>103</v>
      </c>
      <c r="I66" s="15">
        <v>220</v>
      </c>
      <c r="J66" s="15">
        <v>44</v>
      </c>
      <c r="K66" s="15">
        <v>30</v>
      </c>
      <c r="L66" s="15">
        <v>40</v>
      </c>
    </row>
    <row r="67"/>
    <row r="68">
      <c r="A68" s="15" t="str">
        <v>2010年后大于100亿美金VC退出</v>
      </c>
    </row>
    <row r="69">
      <c r="A69" s="15" t="str">
        <v>退出时间</v>
      </c>
      <c r="B69" s="15" t="str">
        <v>Company</v>
      </c>
      <c r="C69" s="15" t="str">
        <v>市值 亿美金</v>
      </c>
      <c r="D69" s="15"/>
      <c r="E69" s="15" t="str">
        <v>国家</v>
      </c>
      <c r="G69" s="44"/>
    </row>
    <row r="70">
      <c r="A70" s="15">
        <v>2011</v>
      </c>
      <c r="B70" s="15" t="str">
        <v>Groupon</v>
      </c>
      <c r="C70" s="40">
        <v>125</v>
      </c>
      <c r="D70" s="15">
        <v>25</v>
      </c>
      <c r="E70" s="15" t="str">
        <v>美国</v>
      </c>
      <c r="F70" s="15">
        <f>A70-2010</f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>
      <c r="A71" s="15">
        <v>2012</v>
      </c>
      <c r="B71" s="15" t="str">
        <v>Facebook</v>
      </c>
      <c r="C71" s="40">
        <v>1040</v>
      </c>
      <c r="D71" s="15">
        <v>104</v>
      </c>
      <c r="E71" s="15" t="str">
        <v>美国</v>
      </c>
      <c r="F71" s="15">
        <f>A71-2010</f>
      </c>
      <c r="G71" s="15"/>
      <c r="H71" s="15"/>
      <c r="I71" s="15"/>
    </row>
    <row r="72">
      <c r="A72" s="15">
        <v>2013.11</v>
      </c>
      <c r="B72" s="15" t="str">
        <v>Twitter</v>
      </c>
      <c r="C72" s="40">
        <v>310</v>
      </c>
      <c r="D72" s="15">
        <v>31</v>
      </c>
      <c r="E72" s="15" t="str">
        <v>美国</v>
      </c>
      <c r="F72" s="15">
        <f>A72-2010</f>
      </c>
      <c r="G72" s="15"/>
      <c r="H72" s="15"/>
      <c r="I72" s="15"/>
    </row>
    <row r="73">
      <c r="A73" s="15">
        <v>2014.9</v>
      </c>
      <c r="B73" s="15" t="str">
        <v>Alibaba</v>
      </c>
      <c r="C73" s="40">
        <v>1680</v>
      </c>
      <c r="D73" s="15">
        <v>168</v>
      </c>
      <c r="E73" s="15" t="str">
        <v>中国</v>
      </c>
      <c r="F73" s="15">
        <f>A73-2010</f>
      </c>
      <c r="G73" s="15"/>
      <c r="H73" s="15"/>
      <c r="I73" s="15"/>
    </row>
    <row r="74">
      <c r="A74" s="48">
        <v>2014.1</v>
      </c>
      <c r="B74" s="15" t="str">
        <v>WhatsApp</v>
      </c>
      <c r="C74" s="40">
        <v>190</v>
      </c>
      <c r="D74" s="15">
        <v>19</v>
      </c>
      <c r="E74" s="15" t="str">
        <v>美国</v>
      </c>
      <c r="F74" s="15">
        <f>A74-2010</f>
      </c>
      <c r="G74" s="15"/>
      <c r="H74" s="15"/>
      <c r="I74" s="15"/>
    </row>
    <row r="75">
      <c r="A75" s="15">
        <v>2014.5</v>
      </c>
      <c r="B75" s="15" t="s">
        <v>50</v>
      </c>
      <c r="C75" s="40">
        <v>286</v>
      </c>
      <c r="D75" s="15">
        <v>28.6</v>
      </c>
      <c r="E75" s="15" t="str">
        <v>中国</v>
      </c>
      <c r="F75" s="15">
        <f>A75-2010</f>
      </c>
      <c r="G75" s="15"/>
      <c r="H75" s="15"/>
      <c r="I75" s="15"/>
    </row>
    <row r="76">
      <c r="A76" s="15">
        <v>2016.6</v>
      </c>
      <c r="B76" s="15" t="str">
        <v>Linkedin</v>
      </c>
      <c r="C76" s="15">
        <v>262</v>
      </c>
      <c r="D76" s="15">
        <v>26.2</v>
      </c>
      <c r="E76" s="15" t="str">
        <v>美国</v>
      </c>
      <c r="F76" s="15">
        <f>A76-2010</f>
      </c>
      <c r="G76" s="15"/>
      <c r="H76" s="15"/>
      <c r="I76" s="15"/>
      <c r="J76" s="27"/>
      <c r="K76" s="27"/>
      <c r="L76" s="27"/>
      <c r="M76" s="29"/>
    </row>
    <row r="77">
      <c r="A77" s="15">
        <v>2017.3</v>
      </c>
      <c r="B77" s="15" t="str">
        <v>snapchat</v>
      </c>
      <c r="C77" s="40">
        <v>340</v>
      </c>
      <c r="D77" s="15">
        <v>34</v>
      </c>
      <c r="E77" s="15" t="str">
        <v>美国</v>
      </c>
      <c r="F77" s="15">
        <f>A77-2010</f>
      </c>
      <c r="G77" s="15"/>
      <c r="H77" s="15"/>
      <c r="I77" s="15"/>
    </row>
    <row customHeight="true" ht="19" r="78">
      <c r="A78" s="15">
        <v>2017.1</v>
      </c>
      <c r="B78" s="15" t="str">
        <v>趣店</v>
      </c>
      <c r="C78" s="40">
        <v>110</v>
      </c>
      <c r="D78" s="15">
        <v>11</v>
      </c>
      <c r="E78" s="15" t="str">
        <v>中国</v>
      </c>
      <c r="F78" s="15">
        <f>A78-2010</f>
      </c>
      <c r="G78" s="15"/>
      <c r="H78" s="15"/>
      <c r="I78" s="15"/>
    </row>
    <row r="79">
      <c r="A79" s="15">
        <v>2018.3</v>
      </c>
      <c r="B79" t="str">
        <v>Dropbox</v>
      </c>
      <c r="C79" s="40">
        <v>120</v>
      </c>
      <c r="D79" s="15">
        <v>7</v>
      </c>
      <c r="E79" s="15" t="str">
        <v>美国</v>
      </c>
      <c r="F79" s="15">
        <f>A79-2010</f>
      </c>
      <c r="G79" s="15"/>
      <c r="H79" s="15"/>
      <c r="I79" s="15"/>
    </row>
    <row customHeight="true" ht="19" r="80">
      <c r="A80" s="15">
        <v>2018.4</v>
      </c>
      <c r="B80" s="15" t="str">
        <v>饿了么</v>
      </c>
      <c r="C80" s="40">
        <v>100</v>
      </c>
      <c r="D80" s="15">
        <v>5</v>
      </c>
      <c r="E80" s="15" t="str">
        <v>中国</v>
      </c>
      <c r="F80" s="15">
        <f>A80-2010</f>
      </c>
      <c r="G80" s="15"/>
      <c r="H80" s="15"/>
      <c r="I80" s="15"/>
    </row>
    <row customHeight="true" ht="19" r="81">
      <c r="A81" s="15">
        <v>2018.4</v>
      </c>
      <c r="B81" s="15" t="str">
        <v>Spotify</v>
      </c>
      <c r="C81" s="15">
        <v>265</v>
      </c>
      <c r="D81" s="15">
        <v>26.5</v>
      </c>
      <c r="E81" s="15" t="str">
        <v>美国</v>
      </c>
      <c r="F81" s="15">
        <f>A81-2010</f>
      </c>
      <c r="G81" s="15"/>
      <c r="H81" s="15" t="str">
        <v>DPO</v>
      </c>
      <c r="I81" s="15"/>
    </row>
    <row customHeight="true" ht="19" r="82">
      <c r="A82" s="15">
        <v>2018.7</v>
      </c>
      <c r="B82" s="15" t="str">
        <v>拼多多</v>
      </c>
      <c r="C82" s="15">
        <v>290</v>
      </c>
      <c r="D82" s="15">
        <v>40</v>
      </c>
      <c r="E82" s="15" t="str">
        <v>中国</v>
      </c>
      <c r="F82" s="15">
        <f>A82-2010</f>
      </c>
      <c r="G82" s="15"/>
      <c r="H82" s="15"/>
      <c r="I82" s="15"/>
    </row>
    <row customHeight="true" ht="19" r="83">
      <c r="A83" s="15">
        <v>2018.6</v>
      </c>
      <c r="B83" s="15" t="str">
        <v>小米</v>
      </c>
      <c r="C83" s="15">
        <v>465</v>
      </c>
      <c r="D83" s="15">
        <v>50</v>
      </c>
      <c r="E83" s="15" t="str">
        <v>中国</v>
      </c>
      <c r="F83" s="15">
        <f>A83-2010</f>
      </c>
      <c r="G83" s="15"/>
      <c r="H83" s="15"/>
      <c r="I83" s="15"/>
    </row>
    <row customHeight="true" ht="19" r="84">
      <c r="A84" s="15">
        <v>2018.9</v>
      </c>
      <c r="B84" s="15" t="str">
        <v>美团</v>
      </c>
      <c r="C84" s="15">
        <v>510</v>
      </c>
      <c r="D84" s="15">
        <v>60</v>
      </c>
      <c r="E84" s="15" t="str">
        <v>中国</v>
      </c>
      <c r="F84" s="15">
        <f>A84-2010</f>
      </c>
    </row>
    <row r="85">
      <c r="A85" s="15">
        <v>2019.5</v>
      </c>
      <c r="B85" t="str">
        <v>Uber</v>
      </c>
      <c r="C85" s="15">
        <v>697</v>
      </c>
      <c r="D85" s="15">
        <v>69.7</v>
      </c>
      <c r="E85" s="15" t="str">
        <v>美国</v>
      </c>
      <c r="F85" s="15">
        <f>A85-2010</f>
      </c>
    </row>
    <row r="86">
      <c r="A86" s="15">
        <v>2020.12</v>
      </c>
      <c r="B86" t="str">
        <v>Airbnb</v>
      </c>
      <c r="C86" s="15">
        <v>860</v>
      </c>
      <c r="D86" s="15">
        <v>86</v>
      </c>
      <c r="E86" s="15" t="str">
        <v>美国</v>
      </c>
      <c r="F86" s="15">
        <f>A86-2010</f>
      </c>
    </row>
    <row customHeight="true" ht="19" r="87">
      <c r="A87" s="15">
        <v>2020.12</v>
      </c>
      <c r="B87" s="15" t="str">
        <v>Doordash</v>
      </c>
      <c r="C87" s="15">
        <v>390</v>
      </c>
      <c r="D87" s="15">
        <v>39</v>
      </c>
      <c r="E87" s="15" t="str">
        <v>美国</v>
      </c>
      <c r="F87" s="15">
        <f>A87-2010</f>
      </c>
    </row>
    <row r="88">
      <c r="A88" s="15">
        <v>2020.9</v>
      </c>
      <c r="B88" t="str">
        <v>Snowflake</v>
      </c>
      <c r="C88" s="15">
        <v>330</v>
      </c>
      <c r="D88" s="15">
        <v>33</v>
      </c>
      <c r="E88" s="15" t="str">
        <v>美国</v>
      </c>
      <c r="F88" s="15">
        <f>A88-2010</f>
      </c>
    </row>
    <row r="89">
      <c r="A89" s="15">
        <v>2021.4</v>
      </c>
      <c r="B89" t="str">
        <v>Coinbase</v>
      </c>
      <c r="C89" s="15">
        <v>850</v>
      </c>
      <c r="D89" s="15">
        <v>85</v>
      </c>
      <c r="E89" s="15" t="str">
        <v>美国</v>
      </c>
      <c r="F89" s="15">
        <f>A89-2010</f>
      </c>
      <c r="H89" s="15" t="str">
        <v>DPO</v>
      </c>
    </row>
    <row r="90">
      <c r="A90" s="15">
        <v>2021.11</v>
      </c>
      <c r="B90" s="15" t="str">
        <v>Rivian</v>
      </c>
      <c r="C90" s="15">
        <v>665</v>
      </c>
      <c r="D90" s="15">
        <v>66.5</v>
      </c>
      <c r="E90" s="15" t="str">
        <v>美国</v>
      </c>
      <c r="F90" s="15">
        <f>A90-2010</f>
      </c>
    </row>
    <row r="91">
      <c r="A91" s="15">
        <v>2021.4</v>
      </c>
      <c r="B91" s="15" t="str">
        <v>UiPath</v>
      </c>
      <c r="C91" s="15">
        <v>350</v>
      </c>
      <c r="D91" s="15">
        <v>35</v>
      </c>
      <c r="E91" s="15" t="str">
        <v>美国</v>
      </c>
      <c r="F91" s="15">
        <f>A91-2010</f>
      </c>
    </row>
    <row r="92">
      <c r="A92" s="15">
        <v>2021.3</v>
      </c>
      <c r="B92" s="15" t="str">
        <v>Roblox</v>
      </c>
      <c r="C92" s="15">
        <v>300</v>
      </c>
      <c r="D92" s="15">
        <v>30</v>
      </c>
      <c r="E92" s="15" t="str">
        <v>美国</v>
      </c>
      <c r="F92" s="15">
        <f>A92-2010</f>
      </c>
      <c r="H92" s="15" t="str">
        <v>DPO</v>
      </c>
    </row>
    <row r="93">
      <c r="A93" s="15">
        <v>2021.6</v>
      </c>
      <c r="B93" s="15" t="str">
        <v>滴滴</v>
      </c>
      <c r="C93" s="15">
        <v>630</v>
      </c>
      <c r="D93" s="15">
        <v>63</v>
      </c>
      <c r="E93" s="15" t="str">
        <v>中国</v>
      </c>
      <c r="F93" s="15">
        <f>A93-2010</f>
      </c>
    </row>
    <row customHeight="true" ht="19" r="94">
      <c r="A94" s="15">
        <v>2021</v>
      </c>
      <c r="B94" s="15" t="str">
        <v>Mailchimp</v>
      </c>
      <c r="C94" s="15">
        <v>120</v>
      </c>
      <c r="D94" s="15">
        <v>12</v>
      </c>
      <c r="E94" s="15" t="str">
        <v>美国</v>
      </c>
      <c r="F94" s="15">
        <f>A94-2010</f>
      </c>
    </row>
    <row customHeight="true" ht="19" r="95">
      <c r="A95" s="15">
        <v>2022.9</v>
      </c>
      <c r="B95" s="15" t="str">
        <v>Figma</v>
      </c>
      <c r="C95" s="15">
        <v>200</v>
      </c>
      <c r="D95" s="15">
        <v>20</v>
      </c>
      <c r="E95" s="15" t="str">
        <v>美国</v>
      </c>
      <c r="F95" s="15">
        <f>A95-2010</f>
      </c>
    </row>
    <row r="96">
      <c r="A96" s="15">
        <v>2025</v>
      </c>
      <c r="B96" s="15" t="str">
        <v>Wiz</v>
      </c>
      <c r="C96" s="15">
        <v>320</v>
      </c>
      <c r="D96" s="15">
        <v>32</v>
      </c>
      <c r="E96" s="15" t="str">
        <v>美国</v>
      </c>
      <c r="F96" s="15">
        <f>A96-2010</f>
      </c>
    </row>
    <row r="97">
      <c r="A97" s="15">
        <v>2025</v>
      </c>
      <c r="B97" s="15" t="str">
        <v>Coreweave</v>
      </c>
      <c r="C97" s="15">
        <v>190</v>
      </c>
      <c r="D97" s="15">
        <v>19</v>
      </c>
      <c r="E97" s="15" t="str">
        <v>美国</v>
      </c>
      <c r="F97" s="15">
        <f>A97-2010</f>
      </c>
    </row>
    <row r="98">
      <c r="A98" s="15">
        <v>2020.7</v>
      </c>
      <c r="B98" s="15" t="str">
        <v>理想</v>
      </c>
      <c r="C98" s="15">
        <v>110</v>
      </c>
      <c r="D98" s="15">
        <v>11</v>
      </c>
      <c r="E98" s="15" t="str">
        <v>中国</v>
      </c>
      <c r="F98" s="15">
        <f>A98-2010</f>
      </c>
    </row>
    <row r="99">
      <c r="A99" s="15">
        <v>2020.8</v>
      </c>
      <c r="B99" s="15" t="str">
        <v>小鹏</v>
      </c>
      <c r="C99" s="15">
        <v>150</v>
      </c>
      <c r="D99" s="15">
        <v>15</v>
      </c>
      <c r="E99" s="15" t="str">
        <v>中国</v>
      </c>
      <c r="F99" s="15">
        <f>A99-2010</f>
      </c>
    </row>
    <row r="100">
      <c r="A100" s="15">
        <v>2021.2</v>
      </c>
      <c r="B100" s="15" t="str">
        <v>快手</v>
      </c>
      <c r="C100" s="52">
        <v>1600</v>
      </c>
      <c r="D100" s="15">
        <v>1600</v>
      </c>
      <c r="E100" s="15" t="str">
        <v>中国</v>
      </c>
      <c r="F100" s="15">
        <f>A100-2010</f>
      </c>
    </row>
    <row r="101">
      <c r="A101" s="15">
        <v>2021.6</v>
      </c>
      <c r="B101" s="15" t="str">
        <v>满帮</v>
      </c>
      <c r="C101" s="15">
        <v>200</v>
      </c>
      <c r="D101" s="15">
        <v>20</v>
      </c>
      <c r="E101" s="15" t="str">
        <v>中国</v>
      </c>
      <c r="F101" s="15">
        <f>A101-2010</f>
      </c>
    </row>
    <row r="102">
      <c r="A102" s="15">
        <v>2021.12</v>
      </c>
      <c r="B102" s="15" t="str">
        <v>商汤科技</v>
      </c>
      <c r="C102" s="15">
        <v>160</v>
      </c>
      <c r="D102" s="15">
        <v>16</v>
      </c>
      <c r="E102" s="15" t="str">
        <v>中国</v>
      </c>
      <c r="F102" s="15">
        <f>A102-2010</f>
      </c>
    </row>
    <row r="103">
      <c r="A103" s="15">
        <v>2025.06</v>
      </c>
      <c r="B103" s="15" t="str">
        <v>Circle</v>
      </c>
      <c r="C103" s="15">
        <v>235</v>
      </c>
      <c r="D103" s="15">
        <f>C103/10</f>
      </c>
      <c r="E103" s="15" t="str">
        <v>美国</v>
      </c>
      <c r="F103" s="15">
        <f>A103-2010</f>
      </c>
    </row>
    <row r="104">
      <c r="A104" s="15">
        <v>2021.7</v>
      </c>
      <c r="B104" s="15" t="str">
        <v>Robinhood</v>
      </c>
      <c r="C104" s="15">
        <v>320</v>
      </c>
      <c r="D104" s="15">
        <f>C104/10</f>
      </c>
      <c r="E104" s="15" t="str">
        <v>美国</v>
      </c>
      <c r="F104" s="15">
        <f>A104-2010</f>
      </c>
    </row>
    <row customHeight="true" ht="19" r="105">
      <c r="A105" s="15">
        <v>2021.1</v>
      </c>
      <c r="B105" s="15" t="str">
        <v>Affirm</v>
      </c>
      <c r="C105" s="15">
        <v>240</v>
      </c>
      <c r="D105" s="15">
        <f>C105/10</f>
      </c>
      <c r="E105" s="15" t="str">
        <v>美国</v>
      </c>
      <c r="F105" s="15">
        <f>A105-2010</f>
      </c>
    </row>
    <row customHeight="true" ht="19" r="106">
      <c r="A106" s="15">
        <v>2023.9</v>
      </c>
      <c r="B106" s="15" t="str">
        <v>Arm Holdings</v>
      </c>
      <c r="C106" s="15">
        <v>545</v>
      </c>
      <c r="D106" s="15">
        <f>C106/10</f>
      </c>
      <c r="E106" s="15" t="str">
        <v>美国</v>
      </c>
      <c r="F106" s="15">
        <f>A106-2010</f>
      </c>
    </row>
    <row customHeight="true" ht="19" r="107">
      <c r="A107" s="15">
        <v>2021.12</v>
      </c>
      <c r="B107" s="15" t="str">
        <v>Nubank</v>
      </c>
      <c r="C107" s="15">
        <v>450</v>
      </c>
      <c r="D107" s="15">
        <f>C107/10</f>
      </c>
      <c r="E107" s="15" t="str">
        <v>美国</v>
      </c>
      <c r="F107" s="15">
        <f>A107-2010</f>
      </c>
    </row>
    <row customHeight="true" ht="19" r="108">
      <c r="A108" s="15">
        <v>2019.3</v>
      </c>
      <c r="B108" s="15" t="str">
        <v>Lyft</v>
      </c>
      <c r="C108" s="15">
        <v>240</v>
      </c>
      <c r="D108" s="15">
        <f>C108/10</f>
      </c>
      <c r="E108" s="15" t="str">
        <v>美国</v>
      </c>
      <c r="F108" s="15">
        <f>A108-2010</f>
      </c>
    </row>
    <row customHeight="true" ht="19" r="109">
      <c r="A109" s="15">
        <v>2019.4</v>
      </c>
      <c r="B109" s="15" t="str">
        <v>Pinterest</v>
      </c>
      <c r="C109" s="15">
        <v>127</v>
      </c>
      <c r="D109" s="15">
        <f>C109/10</f>
      </c>
      <c r="E109" s="15" t="str">
        <v>美国</v>
      </c>
      <c r="F109" s="15">
        <f>A109-2010</f>
      </c>
    </row>
    <row customHeight="true" ht="19" r="110">
      <c r="A110" s="15">
        <v>2019.4</v>
      </c>
      <c r="B110" s="15" t="str">
        <v>Zoom</v>
      </c>
      <c r="C110" s="15">
        <v>160</v>
      </c>
      <c r="D110" s="15">
        <f>C110/10</f>
      </c>
      <c r="E110" s="15" t="str">
        <v>美国</v>
      </c>
      <c r="F110" s="15">
        <f>A110-2010</f>
      </c>
    </row>
    <row customHeight="true" ht="19" r="111">
      <c r="A111" s="15">
        <v>2019.6</v>
      </c>
      <c r="B111" s="15" t="str">
        <v>Slack</v>
      </c>
      <c r="C111" s="33">
        <v>230</v>
      </c>
      <c r="D111" s="15">
        <f>C111/10</f>
      </c>
      <c r="E111" s="15" t="str">
        <v>美国</v>
      </c>
      <c r="F111" s="15">
        <f>A111-2010</f>
      </c>
      <c r="H111" s="15" t="str">
        <v>DPO</v>
      </c>
    </row>
    <row customHeight="true" ht="19" r="112">
      <c r="A112" s="15">
        <v>2020.9</v>
      </c>
      <c r="B112" t="str">
        <v>Unity</v>
      </c>
      <c r="C112" s="33">
        <v>137</v>
      </c>
      <c r="D112" s="15">
        <f>C112/10</f>
      </c>
      <c r="E112" s="15" t="str">
        <v>美国</v>
      </c>
      <c r="F112" s="15">
        <f>A112-2010</f>
      </c>
    </row>
    <row customHeight="true" ht="19" r="113">
      <c r="A113" s="15">
        <v>2020.9</v>
      </c>
      <c r="B113" s="15" t="str" xml:space="preserve">
        <v>Palantir </v>
      </c>
      <c r="C113" s="33">
        <v>200</v>
      </c>
      <c r="D113" s="15">
        <f>C113/10</f>
      </c>
      <c r="E113" s="15" t="str">
        <v>美国</v>
      </c>
      <c r="F113" s="15">
        <f>A113-2010</f>
      </c>
      <c r="H113" s="15" t="str">
        <v>DPO</v>
      </c>
    </row>
    <row customHeight="true" ht="19" r="114">
      <c r="A114" s="15">
        <v>2020.4</v>
      </c>
      <c r="B114" s="15" t="str">
        <v>SOL</v>
      </c>
      <c r="C114" s="15">
        <v>790</v>
      </c>
      <c r="D114" s="15">
        <f>C114/10</f>
      </c>
      <c r="E114" s="15" t="str">
        <v>美国</v>
      </c>
      <c r="F114" s="15">
        <f>A114-2010</f>
      </c>
    </row>
    <row customHeight="true" ht="19" r="115">
      <c r="A115" s="15">
        <v>2018.1</v>
      </c>
      <c r="B115" s="15" t="str">
        <v>XRP</v>
      </c>
      <c r="C115" s="15">
        <v>1200</v>
      </c>
      <c r="D115" s="15">
        <f>C115/10</f>
      </c>
      <c r="E115" s="15" t="str">
        <v>美国</v>
      </c>
      <c r="F115" s="15">
        <f>A115-2010</f>
      </c>
    </row>
    <row r="116"/>
    <row r="117">
      <c r="A117" s="44" t="str">
        <v>Co-investments</v>
      </c>
    </row>
    <row r="118">
      <c r="A118" s="15"/>
      <c r="B118" s="15" t="str">
        <v>募资规模$B</v>
      </c>
      <c r="C118" s="15" t="str">
        <v>基金数量</v>
      </c>
    </row>
    <row r="119">
      <c r="A119" s="15">
        <v>2010</v>
      </c>
      <c r="B119" s="15">
        <v>5</v>
      </c>
      <c r="C119" s="15">
        <v>25</v>
      </c>
    </row>
    <row r="120">
      <c r="A120" s="15">
        <v>2011</v>
      </c>
      <c r="B120" s="15">
        <v>5.4</v>
      </c>
      <c r="C120" s="15">
        <v>47</v>
      </c>
    </row>
    <row r="121">
      <c r="A121" s="15">
        <v>2012</v>
      </c>
      <c r="B121" s="15">
        <v>6</v>
      </c>
      <c r="C121" s="15">
        <v>42</v>
      </c>
    </row>
    <row r="122">
      <c r="A122" s="15">
        <v>2013</v>
      </c>
      <c r="B122" s="15">
        <v>6.8</v>
      </c>
      <c r="C122" s="15">
        <v>54</v>
      </c>
    </row>
    <row r="123">
      <c r="A123" s="15">
        <v>2014</v>
      </c>
      <c r="B123" s="15">
        <v>15.6</v>
      </c>
      <c r="C123" s="15">
        <v>105</v>
      </c>
    </row>
    <row r="124">
      <c r="A124" s="15">
        <v>2015</v>
      </c>
      <c r="B124" s="15">
        <v>27.9</v>
      </c>
      <c r="C124" s="15">
        <v>127</v>
      </c>
    </row>
    <row r="125">
      <c r="A125" s="15">
        <v>2016</v>
      </c>
      <c r="B125" s="15">
        <v>33.6</v>
      </c>
      <c r="C125" s="15">
        <v>147</v>
      </c>
    </row>
    <row r="126">
      <c r="A126" s="15">
        <v>2017</v>
      </c>
      <c r="B126" s="15">
        <v>34.5</v>
      </c>
      <c r="C126" s="15">
        <v>169</v>
      </c>
    </row>
    <row r="127">
      <c r="A127" s="15">
        <v>2018</v>
      </c>
      <c r="B127" s="15">
        <v>18.1</v>
      </c>
      <c r="C127" s="15">
        <v>179</v>
      </c>
    </row>
    <row r="128">
      <c r="A128" s="15">
        <v>2019</v>
      </c>
      <c r="B128" s="15">
        <v>28.3</v>
      </c>
      <c r="C128" s="15">
        <v>207</v>
      </c>
    </row>
    <row r="129">
      <c r="A129" s="15">
        <v>2020</v>
      </c>
      <c r="B129" s="15">
        <v>27.7</v>
      </c>
      <c r="C129" s="15">
        <v>224</v>
      </c>
    </row>
    <row r="130">
      <c r="A130" s="15">
        <v>2021</v>
      </c>
      <c r="B130" s="15">
        <v>40.5</v>
      </c>
      <c r="C130" s="15">
        <v>363</v>
      </c>
    </row>
    <row r="131">
      <c r="A131" s="15">
        <v>2022</v>
      </c>
      <c r="B131" s="15">
        <v>40.6</v>
      </c>
      <c r="C131" s="15">
        <v>542</v>
      </c>
    </row>
    <row r="132">
      <c r="A132" s="15">
        <v>2023</v>
      </c>
      <c r="B132" s="15">
        <v>23.6</v>
      </c>
      <c r="C132" s="15">
        <v>335</v>
      </c>
    </row>
    <row r="133">
      <c r="A133" s="15">
        <v>2024</v>
      </c>
      <c r="B133" s="15">
        <v>24.1</v>
      </c>
      <c r="C133" s="15">
        <v>125</v>
      </c>
    </row>
    <row r="134">
      <c r="A134" s="15">
        <v>2025</v>
      </c>
      <c r="B134" s="15">
        <v>8.2</v>
      </c>
      <c r="C134" s="15">
        <v>24</v>
      </c>
    </row>
  </sheetData>
  <hyperlinks>
    <hyperlink ref="B75" display="JD.com" r:id="rId1"/>
  </hyperlink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4" min="4" style="0" width="30"/>
    <col collapsed="false" customWidth="true" hidden="false" max="5" min="5" style="0" width="30"/>
  </cols>
  <sheetData>
    <row r="1">
      <c r="A1" s="22" t="str">
        <v>资产类别</v>
      </c>
      <c r="B1" s="22">
        <v>2019</v>
      </c>
      <c r="C1" s="22">
        <v>2020</v>
      </c>
      <c r="D1" s="22">
        <v>2021</v>
      </c>
      <c r="E1" s="22">
        <v>2022</v>
      </c>
      <c r="F1" s="22">
        <v>2023</v>
      </c>
      <c r="G1" s="22" t="str">
        <v>2024（计划）</v>
      </c>
    </row>
    <row r="2">
      <c r="A2" s="19" t="str">
        <v>固定收益（发达市场）</v>
      </c>
      <c r="B2" s="19">
        <v>11</v>
      </c>
      <c r="C2" s="19">
        <v>13</v>
      </c>
      <c r="D2" s="19">
        <v>11</v>
      </c>
      <c r="E2" s="19">
        <v>12</v>
      </c>
      <c r="F2" s="19">
        <v>16</v>
      </c>
      <c r="G2" s="19">
        <v>16</v>
      </c>
    </row>
    <row r="3">
      <c r="A3" s="19" t="str">
        <v>固定收益（新兴市场）</v>
      </c>
      <c r="B3" s="19">
        <v>6</v>
      </c>
      <c r="C3" s="19">
        <v>5</v>
      </c>
      <c r="D3" s="19">
        <v>4</v>
      </c>
      <c r="E3" s="19">
        <v>3</v>
      </c>
      <c r="F3" s="19">
        <v>3</v>
      </c>
      <c r="G3" s="19">
        <v>2</v>
      </c>
    </row>
    <row r="4">
      <c r="A4" s="19" t="str">
        <v>股票（发达市场）</v>
      </c>
      <c r="B4" s="19">
        <v>23</v>
      </c>
      <c r="C4" s="19">
        <v>24</v>
      </c>
      <c r="D4" s="19">
        <v>24</v>
      </c>
      <c r="E4" s="19">
        <v>25</v>
      </c>
      <c r="F4" s="19">
        <v>24</v>
      </c>
      <c r="G4" s="19">
        <v>26</v>
      </c>
    </row>
    <row r="5">
      <c r="A5" s="19" t="str">
        <v>股票（新兴市场）</v>
      </c>
      <c r="B5" s="19">
        <v>6</v>
      </c>
      <c r="C5" s="19">
        <v>8</v>
      </c>
      <c r="D5" s="19">
        <v>8</v>
      </c>
      <c r="E5" s="19">
        <v>6</v>
      </c>
      <c r="F5" s="19">
        <v>4</v>
      </c>
      <c r="G5" s="19">
        <v>3</v>
      </c>
    </row>
    <row r="6">
      <c r="A6" s="19" t="str">
        <v>私募股权（直接投资）</v>
      </c>
      <c r="B6" s="19">
        <v>9</v>
      </c>
      <c r="C6" s="19">
        <v>10</v>
      </c>
      <c r="D6" s="19">
        <v>13</v>
      </c>
      <c r="E6" s="19">
        <v>9</v>
      </c>
      <c r="F6" s="19">
        <v>11</v>
      </c>
      <c r="G6" s="19">
        <v>9</v>
      </c>
    </row>
    <row r="7">
      <c r="A7" s="19" t="str">
        <v>私募股权（基金）</v>
      </c>
      <c r="B7" s="19">
        <v>7</v>
      </c>
      <c r="C7" s="19">
        <v>8</v>
      </c>
      <c r="D7" s="19">
        <v>8</v>
      </c>
      <c r="E7" s="19">
        <v>10</v>
      </c>
      <c r="F7" s="19">
        <v>11</v>
      </c>
      <c r="G7" s="19">
        <v>13</v>
      </c>
    </row>
    <row r="8">
      <c r="A8" s="19" t="str">
        <v>私人信贷</v>
      </c>
      <c r="B8" s="19" t="str">
        <v>N/A</v>
      </c>
      <c r="C8" s="19" t="str">
        <v>N/A</v>
      </c>
      <c r="D8" s="19">
        <v>2</v>
      </c>
      <c r="E8" s="19">
        <v>2</v>
      </c>
      <c r="F8" s="19">
        <v>2</v>
      </c>
      <c r="G8" s="19">
        <v>3</v>
      </c>
    </row>
    <row r="9">
      <c r="A9" s="19" t="str">
        <v>对冲基金</v>
      </c>
      <c r="B9" s="19">
        <v>5</v>
      </c>
      <c r="C9" s="19">
        <v>6</v>
      </c>
      <c r="D9" s="19">
        <v>4</v>
      </c>
      <c r="E9" s="19">
        <v>7</v>
      </c>
      <c r="F9" s="19">
        <v>5</v>
      </c>
      <c r="G9" s="19">
        <v>4</v>
      </c>
    </row>
    <row r="10">
      <c r="A10" s="19" t="str">
        <v>房地产</v>
      </c>
      <c r="B10" s="19">
        <v>14</v>
      </c>
      <c r="C10" s="19">
        <v>13</v>
      </c>
      <c r="D10" s="19">
        <v>12</v>
      </c>
      <c r="E10" s="19">
        <v>13</v>
      </c>
      <c r="F10" s="19">
        <v>10</v>
      </c>
      <c r="G10" s="19">
        <v>12</v>
      </c>
    </row>
    <row r="11">
      <c r="A11" s="19" t="str">
        <v>基础设施</v>
      </c>
      <c r="B11" s="19">
        <v>0</v>
      </c>
      <c r="C11" s="19">
        <v>0</v>
      </c>
      <c r="D11" s="19">
        <v>0</v>
      </c>
      <c r="E11" s="19">
        <v>0</v>
      </c>
      <c r="F11" s="19">
        <v>1</v>
      </c>
      <c r="G11" s="19">
        <v>1</v>
      </c>
    </row>
    <row r="12">
      <c r="A12" s="19" t="str">
        <v>黄金/贵金属</v>
      </c>
      <c r="B12" s="19">
        <v>3</v>
      </c>
      <c r="C12" s="19">
        <v>2</v>
      </c>
      <c r="D12" s="19">
        <v>1</v>
      </c>
      <c r="E12" s="19">
        <v>2</v>
      </c>
      <c r="F12" s="19">
        <v>1</v>
      </c>
      <c r="G12" s="19">
        <v>1</v>
      </c>
    </row>
    <row r="13">
      <c r="A13" s="19" t="str">
        <v>商品</v>
      </c>
      <c r="B13" s="19">
        <v>0</v>
      </c>
      <c r="C13" s="19">
        <v>1</v>
      </c>
      <c r="D13" s="19">
        <v>1</v>
      </c>
      <c r="E13" s="19">
        <v>1</v>
      </c>
      <c r="F13" s="19">
        <v>0</v>
      </c>
      <c r="G13" s="19">
        <v>0</v>
      </c>
    </row>
    <row r="14">
      <c r="A14" s="19" t="str">
        <v>现金（现金等价物）</v>
      </c>
      <c r="B14" s="19">
        <v>13</v>
      </c>
      <c r="C14" s="19">
        <v>10</v>
      </c>
      <c r="D14" s="19">
        <v>10</v>
      </c>
      <c r="E14" s="19">
        <v>9</v>
      </c>
      <c r="F14" s="19">
        <v>10</v>
      </c>
      <c r="G14" s="19">
        <v>9</v>
      </c>
    </row>
    <row r="15">
      <c r="A15" s="19" t="str">
        <v>艺术与藏品</v>
      </c>
      <c r="B15" s="19">
        <v>3</v>
      </c>
      <c r="C15" s="19">
        <v>1</v>
      </c>
      <c r="D15" s="19">
        <v>1</v>
      </c>
      <c r="E15" s="19">
        <v>2</v>
      </c>
      <c r="F15" s="19">
        <v>1</v>
      </c>
      <c r="G15" s="19">
        <v>1</v>
      </c>
    </row>
    <row r="16"/>
    <row r="17"/>
    <row r="18">
      <c r="A18" s="22" t="str">
        <v>Rank</v>
      </c>
      <c r="B18" s="22" t="str">
        <v>City</v>
      </c>
      <c r="C18" s="22"/>
      <c r="D18" s="22" t="str">
        <v>Millionaires</v>
      </c>
      <c r="E18" s="22" t="str">
        <v>Centi‑Millionaires¹</v>
      </c>
      <c r="F18" s="22" t="str">
        <v>Billionaires</v>
      </c>
      <c r="G18" s="22"/>
      <c r="H18" s="22" t="str">
        <v>Growth 2013–23</v>
      </c>
      <c r="L18" s="57"/>
    </row>
    <row r="19">
      <c r="A19" s="66">
        <v>1</v>
      </c>
      <c r="B19" s="62" t="str">
        <v>New York City</v>
      </c>
      <c r="C19" s="58" t="str">
        <v>USA</v>
      </c>
      <c r="D19" s="59">
        <v>349500</v>
      </c>
      <c r="E19" s="63">
        <v>744</v>
      </c>
      <c r="F19" s="60">
        <v>60</v>
      </c>
      <c r="G19" s="64"/>
      <c r="H19" s="65">
        <v>0.48</v>
      </c>
      <c r="L19" s="54"/>
    </row>
    <row r="20">
      <c r="A20" s="61">
        <v>2</v>
      </c>
      <c r="B20" s="62" t="str">
        <v>The Bay Area</v>
      </c>
      <c r="C20" s="58" t="str">
        <v>USA</v>
      </c>
      <c r="D20" s="59">
        <v>305700</v>
      </c>
      <c r="E20" s="63">
        <v>675</v>
      </c>
      <c r="F20" s="60">
        <v>68</v>
      </c>
      <c r="G20" s="64"/>
      <c r="H20" s="65">
        <v>0.82</v>
      </c>
      <c r="L20" s="54"/>
    </row>
    <row r="21">
      <c r="A21" s="66">
        <v>3</v>
      </c>
      <c r="B21" s="62" t="str">
        <v>Tokyo</v>
      </c>
      <c r="C21" s="58" t="str">
        <v>Japan</v>
      </c>
      <c r="D21" s="59">
        <v>298300</v>
      </c>
      <c r="E21" s="63">
        <v>267</v>
      </c>
      <c r="F21" s="60">
        <v>14</v>
      </c>
      <c r="G21" s="64"/>
      <c r="H21" s="65">
        <v>-0.05</v>
      </c>
      <c r="L21" s="54"/>
    </row>
    <row r="22">
      <c r="A22" s="61">
        <v>4</v>
      </c>
      <c r="B22" s="62" t="str">
        <v>Singapore</v>
      </c>
      <c r="C22" s="58" t="str">
        <v>Singapore</v>
      </c>
      <c r="D22" s="59">
        <v>244800</v>
      </c>
      <c r="E22" s="63">
        <v>336</v>
      </c>
      <c r="F22" s="60">
        <v>30</v>
      </c>
      <c r="G22" s="64"/>
      <c r="H22" s="65">
        <v>0.64</v>
      </c>
      <c r="L22" s="54"/>
    </row>
    <row r="23">
      <c r="A23" s="66">
        <v>5</v>
      </c>
      <c r="B23" s="62" t="str">
        <v>London</v>
      </c>
      <c r="C23" s="58" t="str">
        <v>UK</v>
      </c>
      <c r="D23" s="59">
        <v>227000</v>
      </c>
      <c r="E23" s="63">
        <v>370</v>
      </c>
      <c r="F23" s="60">
        <v>35</v>
      </c>
      <c r="G23" s="64"/>
      <c r="H23" s="65">
        <v>-0.1</v>
      </c>
      <c r="L23" s="54"/>
    </row>
    <row r="24">
      <c r="A24" s="61">
        <v>6</v>
      </c>
      <c r="B24" s="62" t="str">
        <v>Los Angeles</v>
      </c>
      <c r="C24" s="58" t="str">
        <v>USA</v>
      </c>
      <c r="D24" s="59">
        <v>212100</v>
      </c>
      <c r="E24" s="63">
        <v>496</v>
      </c>
      <c r="F24" s="60">
        <v>43</v>
      </c>
      <c r="G24" s="64"/>
      <c r="H24" s="65">
        <v>0.45</v>
      </c>
      <c r="L24" s="54"/>
    </row>
    <row r="25">
      <c r="A25" s="66">
        <v>7</v>
      </c>
      <c r="B25" s="62" t="str">
        <v>Paris &amp; Île-de-France</v>
      </c>
      <c r="C25" s="58" t="str">
        <v>France</v>
      </c>
      <c r="D25" s="59">
        <v>165000</v>
      </c>
      <c r="E25" s="63">
        <v>286</v>
      </c>
      <c r="F25" s="60">
        <v>23</v>
      </c>
      <c r="G25" s="64"/>
      <c r="H25" s="65">
        <v>0.12</v>
      </c>
      <c r="L25" s="54"/>
    </row>
    <row r="26">
      <c r="A26" s="61">
        <v>8</v>
      </c>
      <c r="B26" s="62" t="str">
        <v>Sydney</v>
      </c>
      <c r="C26" s="58" t="str">
        <v>Australia</v>
      </c>
      <c r="D26" s="59">
        <v>147000</v>
      </c>
      <c r="E26" s="63">
        <v>205</v>
      </c>
      <c r="F26" s="60">
        <v>20</v>
      </c>
      <c r="G26" s="64"/>
      <c r="H26" s="65">
        <v>0.34</v>
      </c>
      <c r="L26" s="54"/>
    </row>
    <row r="27">
      <c r="A27" s="66">
        <v>9</v>
      </c>
      <c r="B27" s="62" t="str">
        <v>Hong Kong</v>
      </c>
      <c r="C27" s="58" t="str">
        <v>Hong Kong (SAR China)</v>
      </c>
      <c r="D27" s="59">
        <v>143400</v>
      </c>
      <c r="E27" s="63">
        <v>320</v>
      </c>
      <c r="F27" s="60">
        <v>35</v>
      </c>
      <c r="G27" s="64"/>
      <c r="H27" s="65">
        <v>-0.04</v>
      </c>
      <c r="L27" s="55"/>
    </row>
    <row r="28">
      <c r="A28" s="61">
        <v>10</v>
      </c>
      <c r="B28" s="62" t="str">
        <v>Beijing</v>
      </c>
      <c r="C28" s="58" t="str">
        <v>China</v>
      </c>
      <c r="D28" s="59">
        <v>125600</v>
      </c>
      <c r="E28" s="63">
        <v>347</v>
      </c>
      <c r="F28" s="60">
        <v>42</v>
      </c>
      <c r="G28" s="64"/>
      <c r="H28" s="65">
        <v>0.9</v>
      </c>
      <c r="L28" s="55">
        <v>13522</v>
      </c>
    </row>
    <row r="29">
      <c r="A29" s="66">
        <v>11</v>
      </c>
      <c r="B29" s="62" t="str">
        <v>Shanghai</v>
      </c>
      <c r="C29" s="58" t="str">
        <v>China</v>
      </c>
      <c r="D29" s="59">
        <v>123400</v>
      </c>
      <c r="E29" s="63">
        <v>322</v>
      </c>
      <c r="F29" s="60">
        <v>39</v>
      </c>
      <c r="G29" s="64"/>
      <c r="H29" s="65">
        <v>0.84</v>
      </c>
      <c r="L29" s="55">
        <v>6741</v>
      </c>
    </row>
    <row r="30">
      <c r="A30" s="61">
        <v>12</v>
      </c>
      <c r="B30" s="62" t="str">
        <v>Chicago</v>
      </c>
      <c r="C30" s="58" t="str">
        <v>USA</v>
      </c>
      <c r="D30" s="59">
        <v>120500</v>
      </c>
      <c r="E30" s="63">
        <v>290</v>
      </c>
      <c r="F30" s="60">
        <v>24</v>
      </c>
      <c r="G30" s="63"/>
      <c r="H30" s="65">
        <v>0.22</v>
      </c>
      <c r="L30" s="55">
        <v>96493</v>
      </c>
    </row>
    <row r="31">
      <c r="L31" s="55">
        <v>185040</v>
      </c>
    </row>
    <row r="32">
      <c r="L32" s="55">
        <v>10373</v>
      </c>
    </row>
    <row r="33">
      <c r="A33" s="15" t="str">
        <v>过去30年财富集中度的变化</v>
      </c>
      <c r="L33" s="55">
        <v>174667</v>
      </c>
    </row>
    <row r="34">
      <c r="A34" s="15">
        <v>1</v>
      </c>
      <c r="B34" s="15" t="str">
        <v>0.1%和1%的人的财富集中度</v>
      </c>
      <c r="L34" s="70" t="str">
        <v>USD bn USD bn</v>
      </c>
    </row>
    <row r="35">
      <c r="B35" s="15" t="str">
        <v>30M以上</v>
      </c>
      <c r="L35" s="54"/>
    </row>
    <row r="36">
      <c r="L36" s="54"/>
    </row>
    <row r="37">
      <c r="L37" s="54"/>
    </row>
    <row r="38">
      <c r="L38" s="54"/>
    </row>
    <row r="39">
      <c r="L39" s="53"/>
    </row>
    <row r="40">
      <c r="L40" s="53"/>
    </row>
    <row r="41">
      <c r="A41" s="14" t="str">
        <v>相对全世界财富占比</v>
      </c>
      <c r="B41" s="14" t="str">
        <v>Bottom 50%</v>
      </c>
      <c r="C41" s="14" t="str">
        <v>Top 1%</v>
      </c>
      <c r="D41" s="14" t="str">
        <v>Top 0.1%</v>
      </c>
      <c r="L41" s="53"/>
    </row>
    <row r="42">
      <c r="A42" s="14">
        <v>1820</v>
      </c>
      <c r="B42" s="34">
        <v>0.1356</v>
      </c>
      <c r="C42" s="34">
        <v>0.1971</v>
      </c>
      <c r="D42" s="34">
        <v>0.0869</v>
      </c>
      <c r="L42" s="55"/>
    </row>
    <row r="43">
      <c r="A43" s="14">
        <v>1850</v>
      </c>
      <c r="B43" s="34">
        <v>0.1182</v>
      </c>
      <c r="C43" s="34">
        <v>0.2151</v>
      </c>
      <c r="D43" s="34">
        <v>0.0944</v>
      </c>
      <c r="L43" s="55"/>
    </row>
    <row r="44">
      <c r="A44" s="14">
        <v>1880</v>
      </c>
      <c r="B44" s="34">
        <v>0.087</v>
      </c>
      <c r="C44" s="34">
        <v>0.2212</v>
      </c>
      <c r="D44" s="34">
        <v>0.0974</v>
      </c>
      <c r="L44" s="55"/>
    </row>
    <row r="45">
      <c r="A45" s="14">
        <v>1900</v>
      </c>
      <c r="B45" s="34">
        <v>0.0724</v>
      </c>
      <c r="C45" s="34">
        <v>0.2459</v>
      </c>
      <c r="D45" s="34">
        <v>0.1185</v>
      </c>
      <c r="L45" s="56"/>
    </row>
    <row r="46">
      <c r="A46" s="14">
        <v>1910</v>
      </c>
      <c r="B46" s="34">
        <v>0.0729</v>
      </c>
      <c r="C46" s="34">
        <v>0.2572</v>
      </c>
      <c r="D46" s="34">
        <v>0.1275</v>
      </c>
      <c r="L46" s="56"/>
    </row>
    <row r="47">
      <c r="A47" s="14">
        <v>1920</v>
      </c>
      <c r="B47" s="34">
        <v>0.0755</v>
      </c>
      <c r="C47" s="34">
        <v>0.2485</v>
      </c>
      <c r="D47" s="34">
        <v>0.1165</v>
      </c>
    </row>
    <row r="48">
      <c r="A48" s="14">
        <v>1930</v>
      </c>
      <c r="B48" s="34">
        <v>0.0714</v>
      </c>
      <c r="C48" s="34">
        <v>0.2203</v>
      </c>
      <c r="D48" s="34">
        <v>0.1005</v>
      </c>
    </row>
    <row r="49">
      <c r="A49" s="14">
        <v>1940</v>
      </c>
      <c r="B49" s="34">
        <v>0.0629</v>
      </c>
      <c r="C49" s="34">
        <v>0.2256</v>
      </c>
      <c r="D49" s="34">
        <v>0.0996</v>
      </c>
    </row>
    <row r="50">
      <c r="A50" s="14">
        <v>1950</v>
      </c>
      <c r="B50" s="34">
        <v>0.0687</v>
      </c>
      <c r="C50" s="34">
        <v>0.1931</v>
      </c>
      <c r="D50" s="34">
        <v>0.0785</v>
      </c>
    </row>
    <row r="51">
      <c r="A51" s="14">
        <v>1960</v>
      </c>
      <c r="B51" s="34">
        <v>0.0701</v>
      </c>
      <c r="C51" s="34">
        <v>0.1648</v>
      </c>
      <c r="D51" s="34">
        <v>0.0616</v>
      </c>
    </row>
    <row r="52">
      <c r="A52" s="14">
        <v>1970</v>
      </c>
      <c r="B52" s="34">
        <v>0.0586</v>
      </c>
      <c r="C52" s="34">
        <v>0.1559</v>
      </c>
      <c r="D52" s="34">
        <v>0.0586</v>
      </c>
    </row>
    <row r="53">
      <c r="A53" s="14">
        <v>1980</v>
      </c>
      <c r="B53" s="34">
        <v>0.0528</v>
      </c>
      <c r="C53" s="34">
        <v>0.178</v>
      </c>
      <c r="D53" s="34">
        <v>0.0661</v>
      </c>
    </row>
    <row r="54">
      <c r="A54" s="14">
        <v>1985</v>
      </c>
      <c r="B54" s="34">
        <v>0.058</v>
      </c>
      <c r="C54" s="34">
        <v>0.1765</v>
      </c>
      <c r="D54" s="34">
        <v>0.0623</v>
      </c>
    </row>
    <row r="55">
      <c r="A55" s="14">
        <v>1990</v>
      </c>
      <c r="B55" s="34">
        <v>0.0576</v>
      </c>
      <c r="C55" s="34">
        <v>0.1941</v>
      </c>
      <c r="D55" s="34">
        <v>0.0727</v>
      </c>
    </row>
    <row r="56">
      <c r="A56" s="14">
        <v>1995</v>
      </c>
      <c r="B56" s="34">
        <v>0.06</v>
      </c>
      <c r="C56" s="34">
        <v>0.2028</v>
      </c>
      <c r="D56" s="34">
        <v>0.0747</v>
      </c>
    </row>
    <row r="57">
      <c r="A57" s="14">
        <v>1997</v>
      </c>
      <c r="B57" s="34">
        <v>0.0614</v>
      </c>
      <c r="C57" s="34">
        <v>0.2075</v>
      </c>
      <c r="D57" s="34">
        <v>0.0778</v>
      </c>
    </row>
    <row r="58">
      <c r="A58" s="14">
        <v>2000</v>
      </c>
      <c r="B58" s="34">
        <v>0.0604</v>
      </c>
      <c r="C58" s="34">
        <v>0.2161</v>
      </c>
      <c r="D58" s="34">
        <v>0.0835</v>
      </c>
    </row>
    <row r="59">
      <c r="A59" s="14">
        <v>2002</v>
      </c>
      <c r="B59" s="34">
        <v>0.0605</v>
      </c>
      <c r="C59" s="34">
        <v>0.214</v>
      </c>
      <c r="D59" s="34">
        <v>0.0825</v>
      </c>
    </row>
    <row r="60">
      <c r="A60" s="14">
        <v>2005</v>
      </c>
      <c r="B60" s="34">
        <v>0.0606</v>
      </c>
      <c r="C60" s="34">
        <v>0.2193</v>
      </c>
      <c r="D60" s="34">
        <v>0.0876</v>
      </c>
    </row>
    <row r="61">
      <c r="A61" s="14">
        <v>2007</v>
      </c>
      <c r="B61" s="34">
        <v>0.062</v>
      </c>
      <c r="C61" s="34">
        <v>0.22</v>
      </c>
      <c r="D61" s="34">
        <v>0.089</v>
      </c>
    </row>
    <row r="62">
      <c r="A62" s="14">
        <v>2010</v>
      </c>
      <c r="B62" s="34">
        <v>0.0656</v>
      </c>
      <c r="C62" s="34">
        <v>0.2067</v>
      </c>
      <c r="D62" s="34">
        <v>0.0801</v>
      </c>
    </row>
    <row r="63">
      <c r="A63" s="14">
        <v>2015</v>
      </c>
      <c r="B63" s="34">
        <v>0.0689</v>
      </c>
      <c r="C63" s="34">
        <v>0.2082</v>
      </c>
      <c r="D63" s="34">
        <v>0.0853</v>
      </c>
    </row>
    <row r="64">
      <c r="A64" s="14">
        <v>2017</v>
      </c>
      <c r="B64" s="34">
        <v>0.0707</v>
      </c>
      <c r="C64" s="34">
        <v>0.206</v>
      </c>
      <c r="D64" s="34">
        <v>0.0852</v>
      </c>
    </row>
    <row r="65">
      <c r="A65" s="14">
        <v>2020</v>
      </c>
      <c r="B65" s="34">
        <v>0.0713</v>
      </c>
      <c r="C65" s="34">
        <v>0.206</v>
      </c>
      <c r="D65" s="34">
        <v>0.0859</v>
      </c>
    </row>
    <row r="66">
      <c r="A66" s="67"/>
      <c r="B66" s="68"/>
      <c r="C66" s="69"/>
    </row>
    <row r="67">
      <c r="A67" s="67" t="str">
        <v>3000w美金以上人口占比</v>
      </c>
      <c r="B67" s="68"/>
      <c r="C67" s="69"/>
    </row>
    <row r="68">
      <c r="A68" s="14" t="str">
        <v>年份</v>
      </c>
      <c r="B68" s="14" t="str">
        <v>3000w美金以上的人数</v>
      </c>
      <c r="C68" s="14" t="str">
        <v>全球人口</v>
      </c>
      <c r="D68" s="14" t="str">
        <v>占比/每十万人</v>
      </c>
    </row>
    <row r="69">
      <c r="A69" s="14">
        <v>2012</v>
      </c>
      <c r="B69" s="14">
        <v>187380</v>
      </c>
      <c r="C69" s="14">
        <v>7.1</v>
      </c>
      <c r="D69" s="14" t="str">
        <v>2.639154929577465</v>
      </c>
    </row>
    <row r="70">
      <c r="A70" s="14">
        <v>2014</v>
      </c>
      <c r="B70" s="14">
        <v>193100</v>
      </c>
      <c r="C70" s="14">
        <v>7.3</v>
      </c>
      <c r="D70" s="14" t="str">
        <v>2.6452054794520548</v>
      </c>
    </row>
    <row r="71">
      <c r="A71" s="14">
        <v>2015</v>
      </c>
      <c r="B71" s="14">
        <v>187500</v>
      </c>
      <c r="C71" s="14">
        <v>7.35</v>
      </c>
      <c r="D71" s="14" t="str">
        <v>2.5510204081632653</v>
      </c>
    </row>
    <row r="72">
      <c r="A72" s="14">
        <v>2016</v>
      </c>
      <c r="B72" s="14">
        <v>226450</v>
      </c>
      <c r="C72" s="14">
        <v>7.41</v>
      </c>
      <c r="D72" s="14" t="str">
        <v>3.056005398110661</v>
      </c>
    </row>
    <row r="73">
      <c r="A73" s="14">
        <v>2017</v>
      </c>
      <c r="B73" s="14">
        <v>255810</v>
      </c>
      <c r="C73" s="14">
        <v>7.49</v>
      </c>
      <c r="D73" s="14" t="str">
        <v>3.4153538050734316</v>
      </c>
    </row>
    <row r="74">
      <c r="A74" s="14">
        <v>2018</v>
      </c>
      <c r="B74" s="14">
        <v>265490</v>
      </c>
      <c r="C74" s="14">
        <v>7.56</v>
      </c>
      <c r="D74" s="14" t="str">
        <v>3.511772486772487</v>
      </c>
    </row>
    <row r="75">
      <c r="A75" s="14">
        <v>2020</v>
      </c>
      <c r="B75" s="14">
        <v>520000</v>
      </c>
      <c r="C75" s="14">
        <v>7.79</v>
      </c>
      <c r="D75" s="14" t="str">
        <v>6.675224646983312</v>
      </c>
    </row>
    <row r="76">
      <c r="A76" s="14">
        <v>2021</v>
      </c>
      <c r="B76" s="14">
        <v>610569</v>
      </c>
      <c r="C76" s="14">
        <v>7.87</v>
      </c>
      <c r="D76" s="14" t="str">
        <v>7.758182973316392</v>
      </c>
    </row>
    <row r="77">
      <c r="A77" s="14">
        <v>2022</v>
      </c>
      <c r="B77" s="14">
        <v>601300</v>
      </c>
      <c r="C77" s="14">
        <v>7.95</v>
      </c>
      <c r="D77" s="14" t="str">
        <v>7.563522012578616</v>
      </c>
    </row>
    <row r="78">
      <c r="A78" s="14">
        <v>2023</v>
      </c>
      <c r="B78" s="14">
        <v>626619</v>
      </c>
      <c r="C78" s="14">
        <v>8</v>
      </c>
      <c r="D78" s="14">
        <v>7.8327375</v>
      </c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7"/>
    <col collapsed="false" customWidth="true" hidden="false" max="5" min="5" style="0" width="43"/>
  </cols>
  <sheetData>
    <row r="1">
      <c r="A1" s="14" t="str">
        <v>MIT Endowment</v>
      </c>
      <c r="B1" s="76"/>
      <c r="E1" s="22" t="str">
        <v>Year</v>
      </c>
      <c r="F1" s="22" t="str">
        <v>现金 &amp; 固定收益</v>
      </c>
      <c r="G1" s="22" t="str">
        <v>美国国内股票</v>
      </c>
      <c r="H1" s="22" t="str">
        <v>非美股票</v>
      </c>
      <c r="I1" s="22" t="str">
        <v>绝对收益</v>
      </c>
      <c r="J1" s="22" t="str">
        <v>私募股权</v>
      </c>
      <c r="K1" s="22" t="str">
        <v>实物资产</v>
      </c>
      <c r="L1" s="22" t="str">
        <v>房地产</v>
      </c>
    </row>
    <row r="2">
      <c r="A2" s="14"/>
      <c r="B2" s="76"/>
      <c r="E2" s="19">
        <v>2011</v>
      </c>
      <c r="F2" s="75">
        <v>0.172</v>
      </c>
      <c r="G2" s="75">
        <v>0.195</v>
      </c>
      <c r="H2" s="75">
        <v>0.127</v>
      </c>
      <c r="I2" s="75">
        <v>0.133</v>
      </c>
      <c r="J2" s="75">
        <v>0.189</v>
      </c>
      <c r="K2" s="75">
        <v>0.048</v>
      </c>
      <c r="L2" s="75">
        <v>0.136</v>
      </c>
    </row>
    <row r="3">
      <c r="A3" s="14"/>
      <c r="B3" s="76"/>
      <c r="E3" s="19">
        <v>2012</v>
      </c>
      <c r="F3" s="75">
        <v>0.181</v>
      </c>
      <c r="G3" s="75">
        <v>0.186</v>
      </c>
      <c r="H3" s="75">
        <v>0.138</v>
      </c>
      <c r="I3" s="75">
        <v>0.119</v>
      </c>
      <c r="J3" s="75">
        <v>0.184</v>
      </c>
      <c r="K3" s="75">
        <v>0.044</v>
      </c>
      <c r="L3" s="75">
        <v>0.149</v>
      </c>
    </row>
    <row r="4">
      <c r="A4" s="14" t="str">
        <v>Asset Class</v>
      </c>
      <c r="B4" s="76" t="str">
        <v>Total Value</v>
      </c>
      <c r="E4" s="19">
        <v>2013</v>
      </c>
      <c r="F4" s="75">
        <v>0.192</v>
      </c>
      <c r="G4" s="75">
        <v>0.119</v>
      </c>
      <c r="H4" s="75">
        <v>0.176</v>
      </c>
      <c r="I4" s="75">
        <v>0.117</v>
      </c>
      <c r="J4" s="75">
        <v>0.183</v>
      </c>
      <c r="K4" s="75">
        <v>0.044</v>
      </c>
      <c r="L4" s="75">
        <v>0.169</v>
      </c>
    </row>
    <row r="5">
      <c r="A5" s="14" t="str">
        <v>Cash &amp; US Treasury</v>
      </c>
      <c r="B5" s="74">
        <v>1854462</v>
      </c>
      <c r="E5" s="19">
        <v>2014</v>
      </c>
      <c r="F5" s="75">
        <v>0.222</v>
      </c>
      <c r="G5" s="75">
        <v>0.112</v>
      </c>
      <c r="H5" s="75">
        <v>0.181</v>
      </c>
      <c r="I5" s="75">
        <v>0.103</v>
      </c>
      <c r="J5" s="75">
        <v>0.174</v>
      </c>
      <c r="K5" s="75">
        <v>0.043</v>
      </c>
      <c r="L5" s="75">
        <v>0.165</v>
      </c>
    </row>
    <row r="6">
      <c r="A6" s="14" t="str">
        <v>Fixed Income</v>
      </c>
      <c r="B6" s="74">
        <v>1405732</v>
      </c>
      <c r="E6" s="19">
        <v>2015</v>
      </c>
      <c r="F6" s="75">
        <v>0.204</v>
      </c>
      <c r="G6" s="75">
        <v>0.119</v>
      </c>
      <c r="H6" s="75">
        <v>0.207</v>
      </c>
      <c r="I6" s="75">
        <v>0.099</v>
      </c>
      <c r="J6" s="75">
        <v>0.173</v>
      </c>
      <c r="K6" s="75">
        <v>0.037</v>
      </c>
      <c r="L6" s="75">
        <v>0.161</v>
      </c>
    </row>
    <row r="7">
      <c r="A7" s="14" t="str">
        <v>Foreign Common Stock</v>
      </c>
      <c r="B7" s="74">
        <v>1672841</v>
      </c>
      <c r="E7" s="19">
        <v>2016</v>
      </c>
      <c r="F7" s="75">
        <v>0.166</v>
      </c>
      <c r="G7" s="75">
        <v>0.119</v>
      </c>
      <c r="H7" s="75">
        <v>0.232</v>
      </c>
      <c r="I7" s="75">
        <v>0.101</v>
      </c>
      <c r="J7" s="75">
        <v>0.179</v>
      </c>
      <c r="K7" s="75">
        <v>0.035</v>
      </c>
      <c r="L7" s="75">
        <v>0.168</v>
      </c>
    </row>
    <row r="8">
      <c r="A8" s="14" t="str">
        <v>Domestic Common Stock</v>
      </c>
      <c r="B8" s="74">
        <v>752971</v>
      </c>
      <c r="E8" s="19">
        <v>2017</v>
      </c>
      <c r="F8" s="75">
        <v>0.145</v>
      </c>
      <c r="G8" s="75">
        <v>0.108</v>
      </c>
      <c r="H8" s="75">
        <v>0.23</v>
      </c>
      <c r="I8" s="75">
        <v>0.104</v>
      </c>
      <c r="J8" s="75">
        <v>0.182</v>
      </c>
      <c r="K8" s="75">
        <v>0.037</v>
      </c>
      <c r="L8" s="75">
        <v>0.193</v>
      </c>
    </row>
    <row r="9">
      <c r="A9" s="14" t="str">
        <v>Foreign Equities</v>
      </c>
      <c r="B9" s="74">
        <v>2012138</v>
      </c>
      <c r="E9" s="19">
        <v>2018</v>
      </c>
      <c r="F9" s="75">
        <v>0.177</v>
      </c>
      <c r="G9" s="75">
        <v>0.113</v>
      </c>
      <c r="H9" s="75">
        <v>0.239</v>
      </c>
      <c r="I9" s="75">
        <v>0.101</v>
      </c>
      <c r="J9" s="75">
        <v>0.178</v>
      </c>
      <c r="K9" s="75">
        <v>0.034</v>
      </c>
      <c r="L9" s="75">
        <v>0.159</v>
      </c>
    </row>
    <row r="10">
      <c r="A10" s="14" t="str">
        <v>Domestic Equities</v>
      </c>
      <c r="B10" s="74">
        <v>2540222</v>
      </c>
      <c r="E10" s="19">
        <v>2019</v>
      </c>
      <c r="F10" s="75">
        <v>0.179</v>
      </c>
      <c r="G10" s="75">
        <v>0.121</v>
      </c>
      <c r="H10" s="75">
        <v>0.229</v>
      </c>
      <c r="I10" s="75">
        <v>0.098</v>
      </c>
      <c r="J10" s="75">
        <v>0.188</v>
      </c>
      <c r="K10" s="75">
        <v>0.034</v>
      </c>
      <c r="L10" s="75">
        <v>0.152</v>
      </c>
    </row>
    <row r="11">
      <c r="A11" s="14" t="str">
        <v>Private Equity</v>
      </c>
      <c r="B11" s="74">
        <v>11284910</v>
      </c>
      <c r="E11" s="19">
        <v>2020</v>
      </c>
      <c r="F11" s="75">
        <v>0.168</v>
      </c>
      <c r="G11" s="75">
        <v>0.122</v>
      </c>
      <c r="H11" s="75">
        <v>0.222</v>
      </c>
      <c r="I11" s="75">
        <v>0.104</v>
      </c>
      <c r="J11" s="75">
        <v>0.205</v>
      </c>
      <c r="K11" s="75">
        <v>0.026</v>
      </c>
      <c r="L11" s="75">
        <v>0.153</v>
      </c>
    </row>
    <row r="12">
      <c r="A12" s="14" t="str">
        <v>Absolute Return</v>
      </c>
      <c r="B12" s="74">
        <v>4943175</v>
      </c>
      <c r="E12" s="19">
        <v>2021</v>
      </c>
      <c r="F12" s="75">
        <v>0.148</v>
      </c>
      <c r="G12" s="75">
        <v>0.109</v>
      </c>
      <c r="H12" s="75">
        <v>0.231</v>
      </c>
      <c r="I12" s="75">
        <v>0.127</v>
      </c>
      <c r="J12" s="75">
        <v>0.226</v>
      </c>
      <c r="K12" s="75">
        <v>0.012</v>
      </c>
      <c r="L12" s="75">
        <v>0.148</v>
      </c>
    </row>
    <row r="13">
      <c r="A13" s="14" t="str">
        <v>Real Assets</v>
      </c>
      <c r="B13" s="74">
        <v>294772</v>
      </c>
      <c r="E13" s="19">
        <v>2022</v>
      </c>
      <c r="F13" s="75">
        <v>0.14</v>
      </c>
      <c r="G13" s="75">
        <v>0.112</v>
      </c>
      <c r="H13" s="75">
        <v>0.193</v>
      </c>
      <c r="I13" s="75">
        <v>0.152</v>
      </c>
      <c r="J13" s="75">
        <v>0.241</v>
      </c>
      <c r="K13" s="75">
        <v>0.007</v>
      </c>
      <c r="L13" s="75">
        <v>0.156</v>
      </c>
    </row>
    <row r="14">
      <c r="A14" s="14"/>
      <c r="B14" s="76"/>
      <c r="E14" s="19">
        <v>2023</v>
      </c>
      <c r="F14" s="75">
        <v>0.126</v>
      </c>
      <c r="G14" s="75">
        <v>0.108</v>
      </c>
      <c r="H14" s="75">
        <v>0.16</v>
      </c>
      <c r="I14" s="75">
        <v>0.163</v>
      </c>
      <c r="J14" s="75">
        <v>0.298</v>
      </c>
      <c r="K14" s="75">
        <v>0.005</v>
      </c>
      <c r="L14" s="75">
        <v>0.14</v>
      </c>
    </row>
    <row r="15">
      <c r="A15" s="14"/>
      <c r="B15" s="74">
        <v>26761223</v>
      </c>
      <c r="E15" s="19">
        <v>2024</v>
      </c>
      <c r="F15" s="75">
        <v>0.122</v>
      </c>
      <c r="G15" s="75">
        <v>0.097</v>
      </c>
      <c r="H15" s="75">
        <v>0.133</v>
      </c>
      <c r="I15" s="75">
        <v>0.163</v>
      </c>
      <c r="J15" s="75">
        <v>0.34</v>
      </c>
      <c r="K15" s="75">
        <v>0.005</v>
      </c>
      <c r="L15" s="75">
        <v>0.14</v>
      </c>
    </row>
    <row r="16">
      <c r="B16" s="71"/>
    </row>
    <row r="17">
      <c r="B17" s="71"/>
    </row>
    <row r="18">
      <c r="B18" s="71"/>
    </row>
    <row r="19">
      <c r="B19" s="71"/>
      <c r="E19" s="15" t="str">
        <v>Return VS Benchmark</v>
      </c>
    </row>
    <row r="20">
      <c r="B20" s="71" t="str">
        <v>捐赠基金收入占学校整体支出的比例</v>
      </c>
      <c r="E20" s="78" t="str">
        <v>Category</v>
      </c>
      <c r="F20" s="77" t="str">
        <v>5年</v>
      </c>
      <c r="G20" s="77" t="str">
        <v>10年</v>
      </c>
      <c r="H20" s="77" t="str">
        <v>15年</v>
      </c>
    </row>
    <row r="21">
      <c r="A21" s="15">
        <v>1961</v>
      </c>
      <c r="B21" s="73">
        <v>0.03</v>
      </c>
      <c r="E21" s="67" t="str">
        <v>MIT捐赠基金回报</v>
      </c>
      <c r="F21" s="72">
        <v>0.189</v>
      </c>
      <c r="G21" s="72">
        <v>0.145</v>
      </c>
      <c r="H21" s="72">
        <v>0.117</v>
      </c>
    </row>
    <row r="22">
      <c r="A22" s="15">
        <v>1981</v>
      </c>
      <c r="B22" s="73">
        <v>0.09</v>
      </c>
      <c r="E22" s="67" t="str">
        <v>大学捐赠基金中位数回报</v>
      </c>
      <c r="F22" s="72">
        <v>0.127</v>
      </c>
      <c r="G22" s="72">
        <v>0.089</v>
      </c>
      <c r="H22" s="72">
        <v>0.076</v>
      </c>
    </row>
    <row r="23">
      <c r="A23" s="15">
        <v>1991</v>
      </c>
      <c r="B23" s="73">
        <v>0.13</v>
      </c>
      <c r="E23" s="67" t="str">
        <v>差额</v>
      </c>
      <c r="F23" s="72">
        <v>0.062</v>
      </c>
      <c r="G23" s="72">
        <v>0.056</v>
      </c>
      <c r="H23" s="72">
        <v>0.041</v>
      </c>
    </row>
    <row r="24">
      <c r="A24" s="15">
        <v>2001</v>
      </c>
      <c r="B24" s="73">
        <v>0.22</v>
      </c>
    </row>
    <row r="25">
      <c r="A25" s="15">
        <v>2023</v>
      </c>
      <c r="B25" s="73">
        <v>0.33</v>
      </c>
      <c r="E25" s="78" t="str">
        <v>Category</v>
      </c>
      <c r="F25" s="77" t="str">
        <v>5 Years</v>
      </c>
      <c r="G25" s="77" t="str">
        <v>10 Years</v>
      </c>
      <c r="H25" s="77" t="str">
        <v>15 Years</v>
      </c>
    </row>
    <row r="26">
      <c r="B26" s="71"/>
      <c r="E26" s="67" t="str">
        <v>MIT捐赠基金回报</v>
      </c>
      <c r="F26" s="72">
        <v>0.189</v>
      </c>
      <c r="G26" s="72">
        <v>0.145</v>
      </c>
      <c r="H26" s="72">
        <v>0.117</v>
      </c>
    </row>
    <row r="27">
      <c r="B27" s="71"/>
      <c r="E27" s="67" t="str">
        <v>全球70/30被动投资Benchmark</v>
      </c>
      <c r="F27" s="72">
        <v>0.112</v>
      </c>
      <c r="G27" s="72">
        <v>0.082</v>
      </c>
      <c r="H27" s="72">
        <v>0.069</v>
      </c>
    </row>
    <row r="28">
      <c r="B28" s="71"/>
      <c r="E28" s="67" t="str">
        <v>差额</v>
      </c>
      <c r="F28" s="72">
        <v>0.077</v>
      </c>
      <c r="G28" s="72">
        <v>0.063</v>
      </c>
      <c r="H28" s="72">
        <v>0.048</v>
      </c>
    </row>
    <row r="29">
      <c r="B29" s="71"/>
    </row>
    <row r="30">
      <c r="B30" s="71"/>
    </row>
    <row r="31">
      <c r="B31" s="71"/>
    </row>
    <row r="32">
      <c r="B32" s="71"/>
    </row>
    <row r="33">
      <c r="A33" s="15" t="str">
        <v>MIT投资时过往业绩小于3年</v>
      </c>
      <c r="B33" s="73">
        <v>0.58</v>
      </c>
    </row>
    <row r="34">
      <c r="A34" s="15" t="str">
        <v>把MIT当作创始合伙人</v>
      </c>
      <c r="B34" s="73">
        <v>0.45</v>
      </c>
    </row>
    <row r="35">
      <c r="A35" s="15" t="str">
        <v>MIT投资时基金AUM小于$25M</v>
      </c>
      <c r="B35" s="73">
        <v>0.39</v>
      </c>
    </row>
    <row r="36">
      <c r="A36" s="15" t="str">
        <v>MIT是第一个机构投资人LP</v>
      </c>
      <c r="B36" s="73">
        <v>0.5</v>
      </c>
    </row>
    <row r="37">
      <c r="B37" s="71"/>
    </row>
    <row r="38">
      <c r="B38" s="71"/>
    </row>
    <row r="39">
      <c r="B39" s="71"/>
    </row>
    <row r="40">
      <c r="B40" s="71"/>
    </row>
    <row r="41">
      <c r="B41" s="71"/>
    </row>
    <row r="42">
      <c r="B42" s="71"/>
    </row>
    <row r="43">
      <c r="B43" s="71"/>
    </row>
    <row r="44">
      <c r="B44" s="71"/>
    </row>
    <row r="45">
      <c r="B45" s="71"/>
    </row>
    <row r="46">
      <c r="B46" s="71"/>
    </row>
    <row r="47">
      <c r="B47" s="71"/>
    </row>
    <row r="48">
      <c r="B48" s="71"/>
    </row>
    <row r="49">
      <c r="B49" s="71"/>
    </row>
    <row r="50">
      <c r="B50" s="71"/>
    </row>
    <row r="51">
      <c r="B51" s="71"/>
    </row>
    <row r="52">
      <c r="B52" s="71"/>
    </row>
    <row r="53">
      <c r="B53" s="71"/>
    </row>
    <row r="54">
      <c r="B54" s="71"/>
    </row>
    <row r="55">
      <c r="B55" s="71"/>
    </row>
    <row r="56">
      <c r="B56" s="71"/>
    </row>
    <row r="57">
      <c r="B57" s="71"/>
    </row>
    <row r="58">
      <c r="B58" s="71"/>
    </row>
    <row r="59">
      <c r="B59" s="71"/>
    </row>
    <row r="60">
      <c r="B60" s="71"/>
    </row>
    <row r="61">
      <c r="B61" s="71"/>
    </row>
    <row r="62">
      <c r="B62" s="71"/>
    </row>
    <row r="63">
      <c r="B63" s="71"/>
    </row>
    <row r="64">
      <c r="B64" s="71"/>
    </row>
    <row r="65">
      <c r="B65" s="71"/>
    </row>
    <row r="66">
      <c r="B66" s="71"/>
    </row>
    <row r="67">
      <c r="B67" s="71"/>
    </row>
    <row r="68">
      <c r="B68" s="71"/>
    </row>
    <row r="69">
      <c r="B69" s="71"/>
    </row>
    <row r="70">
      <c r="B70" s="71"/>
    </row>
    <row r="71">
      <c r="B71" s="71"/>
    </row>
    <row r="72">
      <c r="B72" s="71"/>
    </row>
    <row r="73">
      <c r="B73" s="71"/>
    </row>
    <row r="74">
      <c r="B74" s="71"/>
    </row>
    <row r="75">
      <c r="B75" s="71"/>
    </row>
    <row r="76">
      <c r="B76" s="71"/>
    </row>
    <row r="77">
      <c r="B77" s="71"/>
    </row>
    <row r="78">
      <c r="B78" s="71"/>
    </row>
    <row r="79">
      <c r="B79" s="71"/>
    </row>
    <row r="80">
      <c r="B80" s="71"/>
    </row>
    <row r="81">
      <c r="B81" s="71"/>
    </row>
    <row r="82">
      <c r="B82" s="71"/>
    </row>
    <row r="83">
      <c r="B83" s="71"/>
    </row>
    <row r="84">
      <c r="B84" s="71"/>
    </row>
    <row r="85">
      <c r="B85" s="71"/>
    </row>
    <row r="86">
      <c r="B86" s="71"/>
    </row>
    <row r="87">
      <c r="B87" s="71"/>
    </row>
    <row r="88">
      <c r="B88" s="71"/>
    </row>
    <row r="89">
      <c r="B89" s="71"/>
    </row>
    <row r="90">
      <c r="B90" s="71"/>
    </row>
    <row r="91">
      <c r="B91" s="71"/>
    </row>
    <row r="92">
      <c r="B92" s="71"/>
    </row>
    <row r="93">
      <c r="B93" s="71"/>
    </row>
    <row r="94">
      <c r="B94" s="71"/>
    </row>
    <row r="95">
      <c r="B95" s="71"/>
    </row>
    <row r="96">
      <c r="B96" s="71"/>
    </row>
    <row r="97">
      <c r="B97" s="71"/>
    </row>
    <row r="98">
      <c r="B98" s="71"/>
    </row>
    <row r="99">
      <c r="B99" s="71"/>
    </row>
    <row r="100">
      <c r="B100" s="71"/>
    </row>
    <row r="101">
      <c r="B101" s="71"/>
    </row>
    <row r="102">
      <c r="B102" s="71"/>
    </row>
    <row r="103">
      <c r="B103" s="71"/>
    </row>
    <row r="104">
      <c r="B104" s="71"/>
    </row>
    <row r="105">
      <c r="B105" s="71"/>
    </row>
    <row r="106">
      <c r="B106" s="71"/>
    </row>
    <row r="107">
      <c r="B107" s="71"/>
    </row>
    <row r="108">
      <c r="B108" s="71"/>
    </row>
    <row r="109">
      <c r="B109" s="71"/>
    </row>
    <row r="110">
      <c r="B110" s="71"/>
    </row>
    <row r="111">
      <c r="B111" s="71"/>
    </row>
    <row r="112">
      <c r="B112" s="71"/>
    </row>
    <row r="113">
      <c r="B113" s="71"/>
    </row>
    <row r="114">
      <c r="B114" s="71"/>
    </row>
    <row r="115">
      <c r="B115" s="71"/>
    </row>
    <row r="116">
      <c r="B116" s="71"/>
    </row>
    <row r="117">
      <c r="B117" s="71"/>
    </row>
    <row r="118">
      <c r="B118" s="71"/>
    </row>
    <row r="119">
      <c r="B119" s="71"/>
    </row>
    <row r="120">
      <c r="B120" s="71"/>
    </row>
    <row r="121">
      <c r="B121" s="71"/>
    </row>
    <row r="122">
      <c r="B122" s="71"/>
    </row>
    <row r="123">
      <c r="B123" s="71"/>
    </row>
    <row r="124">
      <c r="B124" s="71"/>
    </row>
    <row r="125">
      <c r="B125" s="71"/>
    </row>
    <row r="126">
      <c r="B126" s="71"/>
    </row>
    <row r="127">
      <c r="B127" s="71"/>
    </row>
    <row r="128">
      <c r="B128" s="71"/>
    </row>
    <row r="129">
      <c r="B129" s="71"/>
    </row>
    <row r="130">
      <c r="B130" s="71"/>
    </row>
    <row r="131">
      <c r="B131" s="71"/>
    </row>
    <row r="132">
      <c r="B132" s="71"/>
    </row>
    <row r="133">
      <c r="B133" s="71"/>
    </row>
    <row r="134">
      <c r="B134" s="71"/>
    </row>
    <row r="135">
      <c r="B135" s="71"/>
    </row>
    <row r="136">
      <c r="B136" s="71"/>
    </row>
    <row r="137">
      <c r="B137" s="71"/>
    </row>
    <row r="138">
      <c r="B138" s="71"/>
    </row>
    <row r="139">
      <c r="B139" s="71"/>
    </row>
    <row r="140">
      <c r="B140" s="71"/>
    </row>
    <row r="141">
      <c r="B141" s="71"/>
    </row>
    <row r="142">
      <c r="B142" s="71"/>
    </row>
    <row r="143">
      <c r="B143" s="71"/>
    </row>
    <row r="144">
      <c r="B144" s="71"/>
    </row>
    <row r="145">
      <c r="B145" s="71"/>
    </row>
    <row r="146">
      <c r="B146" s="71"/>
    </row>
    <row r="147">
      <c r="B147" s="71"/>
    </row>
    <row r="148">
      <c r="B148" s="71"/>
    </row>
    <row r="149">
      <c r="B149" s="71"/>
    </row>
    <row r="150">
      <c r="B150" s="71"/>
    </row>
    <row r="151">
      <c r="B151" s="71"/>
    </row>
    <row r="152">
      <c r="B152" s="71"/>
    </row>
    <row r="153">
      <c r="B153" s="71"/>
    </row>
    <row r="154">
      <c r="B154" s="71"/>
    </row>
    <row r="155">
      <c r="B155" s="71"/>
    </row>
    <row r="156">
      <c r="B156" s="71"/>
    </row>
    <row r="157">
      <c r="B157" s="71"/>
    </row>
    <row r="158">
      <c r="B158" s="71"/>
    </row>
    <row r="159">
      <c r="B159" s="71"/>
    </row>
    <row r="160">
      <c r="B160" s="71"/>
    </row>
    <row r="161">
      <c r="B161" s="71"/>
    </row>
    <row r="162">
      <c r="B162" s="71"/>
    </row>
    <row r="163">
      <c r="B163" s="71"/>
    </row>
    <row r="164">
      <c r="B164" s="71"/>
    </row>
    <row r="165">
      <c r="B165" s="71"/>
    </row>
    <row r="166">
      <c r="B166" s="71"/>
    </row>
    <row r="167">
      <c r="B167" s="71"/>
    </row>
    <row r="168">
      <c r="B168" s="71"/>
    </row>
    <row r="169">
      <c r="B169" s="71"/>
    </row>
    <row r="170">
      <c r="B170" s="71"/>
    </row>
    <row r="171">
      <c r="B171" s="71"/>
    </row>
    <row r="172">
      <c r="B172" s="71"/>
    </row>
    <row r="173">
      <c r="B173" s="71"/>
    </row>
    <row r="174">
      <c r="B174" s="71"/>
    </row>
    <row r="175">
      <c r="B175" s="71"/>
    </row>
    <row r="176">
      <c r="B176" s="71"/>
    </row>
    <row r="177">
      <c r="B177" s="71"/>
    </row>
    <row r="178">
      <c r="B178" s="71"/>
    </row>
    <row r="179">
      <c r="B179" s="71"/>
    </row>
    <row r="180">
      <c r="B180" s="71"/>
    </row>
    <row r="181">
      <c r="B181" s="71"/>
    </row>
    <row r="182">
      <c r="B182" s="71"/>
    </row>
    <row r="183">
      <c r="B183" s="71"/>
    </row>
    <row r="184">
      <c r="B184" s="71"/>
    </row>
    <row r="185">
      <c r="B185" s="71"/>
    </row>
    <row r="186">
      <c r="B186" s="71"/>
    </row>
    <row r="187">
      <c r="B187" s="71"/>
    </row>
    <row r="188">
      <c r="B188" s="71"/>
    </row>
    <row r="189">
      <c r="B189" s="71"/>
    </row>
    <row r="190">
      <c r="B190" s="71"/>
    </row>
    <row r="191">
      <c r="B191" s="71"/>
    </row>
    <row r="192">
      <c r="B192" s="71"/>
    </row>
    <row r="193">
      <c r="B193" s="71"/>
    </row>
    <row r="194">
      <c r="B194" s="71"/>
    </row>
    <row r="195">
      <c r="B195" s="71"/>
    </row>
    <row r="196">
      <c r="B196" s="71"/>
    </row>
    <row r="197">
      <c r="B197" s="71"/>
    </row>
    <row r="198">
      <c r="B198" s="71"/>
    </row>
    <row r="199">
      <c r="B199" s="71"/>
    </row>
    <row r="200">
      <c r="B200" s="71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24"/>
    <col collapsed="false" customWidth="true" hidden="false" max="8" min="8" style="0" width="20"/>
    <col collapsed="false" customWidth="true" hidden="false" max="12" min="12" style="0" width="24"/>
    <col collapsed="false" customWidth="true" hidden="false" max="16" min="16" style="0" width="23"/>
    <col collapsed="false" customWidth="true" hidden="false" max="20" min="20" style="0" width="19"/>
  </cols>
  <sheetData>
    <row r="1">
      <c r="A1" s="15" t="str">
        <v>Coupang</v>
      </c>
      <c r="D1" s="15" t="str">
        <v>持仓变化</v>
      </c>
    </row>
    <row r="2">
      <c r="A2" s="15" t="str">
        <v>投资额</v>
      </c>
      <c r="B2" s="15" t="str">
        <v>当下持仓</v>
      </c>
      <c r="C2" s="15" t="str">
        <v>收益回报</v>
      </c>
      <c r="D2" s="81">
        <v>44561</v>
      </c>
      <c r="H2" s="15" t="str">
        <v>2022Q1</v>
      </c>
      <c r="L2" s="15" t="str">
        <v>2022Q2</v>
      </c>
      <c r="P2" s="15" t="str">
        <v>Q3</v>
      </c>
      <c r="T2" s="15" t="str">
        <v>Q4</v>
      </c>
    </row>
    <row r="3">
      <c r="A3" s="15" t="str">
        <v>$120M</v>
      </c>
      <c r="B3" s="15" t="str">
        <v>$850M</v>
      </c>
      <c r="C3" s="15" t="str">
        <v>7.08x</v>
      </c>
      <c r="D3" s="22" t="str">
        <v>公司名称（Name of Issuer）</v>
      </c>
      <c r="E3" s="22" t="str">
        <v>市值（$K）</v>
      </c>
      <c r="F3" s="15" t="str">
        <v>占比</v>
      </c>
      <c r="G3" s="15" t="str">
        <v>股份数量</v>
      </c>
      <c r="L3" s="14" t="str">
        <v>Issuer Name</v>
      </c>
      <c r="M3" s="14" t="str">
        <v>Value ($000)</v>
      </c>
      <c r="N3" s="14" t="str">
        <v>%</v>
      </c>
      <c r="O3" s="14" t="str">
        <v>Shares</v>
      </c>
      <c r="P3" s="14" t="str">
        <v>Issuer Name</v>
      </c>
      <c r="Q3" s="14" t="str">
        <v>Value ($000)</v>
      </c>
      <c r="R3" s="14" t="str">
        <v>%</v>
      </c>
      <c r="S3" s="14" t="str">
        <v>Shares</v>
      </c>
      <c r="T3" s="14" t="str">
        <v>Issuer Name</v>
      </c>
      <c r="U3" s="14" t="str">
        <v>Value ($000)</v>
      </c>
      <c r="V3" s="14" t="str">
        <v>%</v>
      </c>
      <c r="W3" s="14" t="str">
        <v>Shares</v>
      </c>
    </row>
    <row r="4">
      <c r="D4" s="14" t="str">
        <v>COUPANG INC</v>
      </c>
      <c r="E4" s="79">
        <v>475901</v>
      </c>
      <c r="F4" s="69">
        <v>0.65</v>
      </c>
      <c r="G4" s="82">
        <v>16198116</v>
      </c>
      <c r="H4" s="14" t="str">
        <v>COUPANG INC</v>
      </c>
      <c r="I4" s="79">
        <v>424579</v>
      </c>
      <c r="J4" s="69">
        <v>0.68</v>
      </c>
      <c r="K4" s="79">
        <v>24014645</v>
      </c>
      <c r="L4" s="14" t="str">
        <v>COUPANG INC</v>
      </c>
      <c r="M4" s="79">
        <v>306187</v>
      </c>
      <c r="N4" s="69">
        <v>0.66</v>
      </c>
      <c r="O4" s="79">
        <v>24014645</v>
      </c>
      <c r="P4" s="14" t="str">
        <v>COUPANG INC</v>
      </c>
      <c r="Q4" s="79">
        <v>400324</v>
      </c>
      <c r="R4" s="69">
        <v>0.68</v>
      </c>
      <c r="S4" s="79">
        <v>24014645</v>
      </c>
      <c r="T4" s="14" t="str">
        <v>COUPANG INC</v>
      </c>
      <c r="U4" s="79">
        <v>422231</v>
      </c>
      <c r="V4" s="69">
        <v>0.7</v>
      </c>
      <c r="W4" s="82">
        <v>28703675</v>
      </c>
    </row>
    <row r="5">
      <c r="A5" s="15" t="str">
        <v>Snowflake</v>
      </c>
      <c r="D5" s="14" t="str">
        <v>SNOWFLAKE INC</v>
      </c>
      <c r="E5" s="79">
        <v>172851</v>
      </c>
      <c r="F5" s="69">
        <v>0.23</v>
      </c>
      <c r="G5" s="79">
        <v>510261</v>
      </c>
      <c r="H5" s="14" t="str">
        <v>SNOWFLAKE INC</v>
      </c>
      <c r="I5" s="79">
        <v>116916</v>
      </c>
      <c r="J5" s="69">
        <v>0.19</v>
      </c>
      <c r="K5" s="79">
        <v>510261</v>
      </c>
      <c r="L5" s="14" t="str">
        <v>SNOWFLAKE INC</v>
      </c>
      <c r="M5" s="79">
        <v>70957</v>
      </c>
      <c r="N5" s="69">
        <v>0.15</v>
      </c>
      <c r="O5" s="79">
        <v>510261</v>
      </c>
      <c r="P5" s="14" t="str">
        <v>SNOWFLAKE INC</v>
      </c>
      <c r="Q5" s="79">
        <v>86724</v>
      </c>
      <c r="R5" s="69">
        <v>0.15</v>
      </c>
      <c r="S5" s="79">
        <v>510261</v>
      </c>
      <c r="T5" s="14" t="str">
        <v>SNOWFLAKE INC</v>
      </c>
      <c r="U5" s="79">
        <v>73242</v>
      </c>
      <c r="V5" s="69">
        <v>0.12</v>
      </c>
      <c r="W5" s="79">
        <v>510261</v>
      </c>
    </row>
    <row r="6">
      <c r="A6" s="15" t="str">
        <v>投资额</v>
      </c>
      <c r="B6" s="15" t="str">
        <v>当下持仓</v>
      </c>
      <c r="C6" s="15" t="str">
        <v>收益回报</v>
      </c>
      <c r="D6" s="42" t="str">
        <v>ROBINHOOD MKTS INC</v>
      </c>
      <c r="E6" s="79">
        <v>47878</v>
      </c>
      <c r="F6" s="34">
        <v>0.065</v>
      </c>
      <c r="G6" s="79">
        <v>2695861</v>
      </c>
      <c r="H6" s="14" t="str">
        <v>ROBINHOOD MKTS INC</v>
      </c>
      <c r="I6" s="79">
        <v>36421</v>
      </c>
      <c r="J6" s="34">
        <v>0.058</v>
      </c>
      <c r="K6" s="79">
        <v>2695861</v>
      </c>
      <c r="L6" s="14" t="str">
        <v>BOSTON OMAHA CORP</v>
      </c>
      <c r="M6" s="79">
        <v>55916</v>
      </c>
      <c r="N6" s="69">
        <v>0.12</v>
      </c>
      <c r="O6" s="79">
        <v>2707786</v>
      </c>
      <c r="P6" s="14" t="str">
        <v>BOSTON OMAHA CORP</v>
      </c>
      <c r="Q6" s="79">
        <v>61932</v>
      </c>
      <c r="R6" s="69">
        <v>0.11</v>
      </c>
      <c r="S6" s="79">
        <v>2688031</v>
      </c>
      <c r="T6" s="14" t="str">
        <v>BOSTON OMAHA CORP</v>
      </c>
      <c r="U6" s="79">
        <v>69960</v>
      </c>
      <c r="V6" s="69">
        <v>0.12</v>
      </c>
      <c r="W6" s="79">
        <v>2640037</v>
      </c>
    </row>
    <row r="7">
      <c r="A7" s="15" t="str">
        <v>$xM</v>
      </c>
      <c r="B7" s="15" t="str">
        <v>$50M</v>
      </c>
      <c r="C7" s="15" t="str">
        <v>7.08x</v>
      </c>
      <c r="D7" s="14" t="str">
        <v>BOSTON OMAHA CORP</v>
      </c>
      <c r="E7" s="79">
        <v>37573</v>
      </c>
      <c r="F7" s="34">
        <v>0.051</v>
      </c>
      <c r="G7" s="79">
        <v>1307786</v>
      </c>
      <c r="H7" s="14" t="str">
        <v>BOSTON OMAHA CORP</v>
      </c>
      <c r="I7" s="79">
        <v>33179</v>
      </c>
      <c r="J7" s="34">
        <v>0.053</v>
      </c>
      <c r="K7" s="79">
        <v>1307786</v>
      </c>
      <c r="L7" s="14" t="str">
        <v>ROBINHOOD MKTS INC</v>
      </c>
      <c r="M7" s="79">
        <v>22160</v>
      </c>
      <c r="N7" s="34">
        <v>0.048</v>
      </c>
      <c r="O7" s="79">
        <v>2695861</v>
      </c>
      <c r="P7" s="14" t="str">
        <v>ROBINHOOD MKTS INC</v>
      </c>
      <c r="Q7" s="79">
        <v>27228</v>
      </c>
      <c r="R7" s="34">
        <v>0.046</v>
      </c>
      <c r="S7" s="79">
        <v>2695861</v>
      </c>
      <c r="T7" s="14" t="str">
        <v>ROBINHOOD MKTS INC</v>
      </c>
      <c r="U7" s="79">
        <v>21944</v>
      </c>
      <c r="V7" s="34">
        <v>0.036</v>
      </c>
      <c r="W7" s="79">
        <v>2695861</v>
      </c>
    </row>
    <row r="8">
      <c r="A8" s="19"/>
      <c r="B8" s="19"/>
      <c r="C8" s="19"/>
      <c r="D8" s="14" t="str">
        <v>TEXTRON INC</v>
      </c>
      <c r="E8" s="79">
        <v>1235</v>
      </c>
      <c r="F8" s="34">
        <v>0.002</v>
      </c>
      <c r="G8" s="79">
        <v>16000</v>
      </c>
      <c r="H8" s="14" t="str">
        <v>GRAB HOLDINGS LIMITED</v>
      </c>
      <c r="I8" s="79">
        <v>14000</v>
      </c>
      <c r="J8" s="34">
        <v>0.022</v>
      </c>
      <c r="K8" s="79">
        <v>4000000</v>
      </c>
      <c r="L8" s="14" t="str">
        <v>GRAB HOLDINGS LIMITED</v>
      </c>
      <c r="M8" s="79">
        <v>10120</v>
      </c>
      <c r="N8" s="34">
        <v>0.022</v>
      </c>
      <c r="O8" s="79">
        <v>4000000</v>
      </c>
      <c r="P8" s="14" t="str">
        <v>GRAB HOLDINGS LIMITED</v>
      </c>
      <c r="Q8" s="79">
        <v>10520</v>
      </c>
      <c r="R8" s="34">
        <v>0.018</v>
      </c>
      <c r="S8" s="79">
        <v>4000000</v>
      </c>
      <c r="T8" s="14" t="str">
        <v>GRAB HOLDINGS LIMITED</v>
      </c>
      <c r="U8" s="79">
        <v>12880</v>
      </c>
      <c r="V8" s="34">
        <v>0.021</v>
      </c>
      <c r="W8" s="79">
        <v>4000000</v>
      </c>
    </row>
    <row r="9">
      <c r="A9" s="19"/>
      <c r="B9" s="19"/>
      <c r="C9" s="19"/>
      <c r="D9" s="14" t="str">
        <v>SUMO LOGIC INC</v>
      </c>
      <c r="E9" s="14">
        <v>748</v>
      </c>
      <c r="F9" s="34">
        <v>0.001</v>
      </c>
      <c r="G9" s="79">
        <v>55193</v>
      </c>
      <c r="H9" s="14" t="str">
        <v>TEXTRON INC</v>
      </c>
      <c r="I9" s="79">
        <v>1190</v>
      </c>
      <c r="J9" s="34">
        <v>0.002</v>
      </c>
      <c r="K9" s="79">
        <v>16000</v>
      </c>
      <c r="L9" s="14" t="str">
        <v>TEXTRON INC</v>
      </c>
      <c r="M9" s="79">
        <v>977</v>
      </c>
      <c r="N9" s="34">
        <v>0.002</v>
      </c>
      <c r="O9" s="79">
        <v>16000</v>
      </c>
      <c r="P9" s="14" t="str">
        <v>TEXTRON INC</v>
      </c>
      <c r="Q9" s="14">
        <v>977</v>
      </c>
      <c r="R9" s="34">
        <v>0.002</v>
      </c>
      <c r="S9" s="79">
        <v>16000</v>
      </c>
      <c r="T9" s="14" t="str">
        <v>PROCEPT BIOROBOTICS CORP</v>
      </c>
      <c r="U9" s="79">
        <v>1001</v>
      </c>
      <c r="V9" s="34">
        <v>0.002</v>
      </c>
      <c r="W9" s="79">
        <v>24102</v>
      </c>
    </row>
    <row r="10">
      <c r="A10" s="19"/>
      <c r="B10" s="80"/>
      <c r="C10" s="19"/>
      <c r="D10" s="14" t="str">
        <v>APPLE INC</v>
      </c>
      <c r="E10" s="79">
        <v>605</v>
      </c>
      <c r="F10" s="34">
        <v>0.001</v>
      </c>
      <c r="G10" s="79">
        <v>3407</v>
      </c>
      <c r="H10" s="14" t="str">
        <v>AIRBNB INC</v>
      </c>
      <c r="I10" s="14">
        <v>622</v>
      </c>
      <c r="J10" s="34">
        <v>0.001</v>
      </c>
      <c r="K10" s="79">
        <v>3622</v>
      </c>
      <c r="L10" s="14"/>
      <c r="M10" s="14"/>
      <c r="N10" s="34"/>
      <c r="O10" s="79"/>
      <c r="P10" s="14" t="str">
        <v>PROCEPT BIOROBOTICS CORP</v>
      </c>
      <c r="Q10" s="14">
        <v>333</v>
      </c>
      <c r="R10" s="34">
        <v>0.001</v>
      </c>
      <c r="S10" s="79">
        <v>8034</v>
      </c>
      <c r="T10" s="14" t="str">
        <v>TEXTRON INC</v>
      </c>
      <c r="U10" s="14">
        <v>977</v>
      </c>
      <c r="V10" s="34">
        <v>0.002</v>
      </c>
      <c r="W10" s="79">
        <v>16000</v>
      </c>
    </row>
    <row r="11">
      <c r="A11" s="19"/>
      <c r="B11" s="80"/>
      <c r="C11" s="19"/>
      <c r="D11" s="14" t="str">
        <v>MARQETA INC</v>
      </c>
      <c r="E11" s="79">
        <v>549</v>
      </c>
      <c r="F11" s="34">
        <v>0.001</v>
      </c>
      <c r="G11" s="79">
        <v>31985</v>
      </c>
      <c r="T11" s="14" t="str">
        <v>SUMO LOGIC INC</v>
      </c>
      <c r="U11" s="14">
        <v>145</v>
      </c>
      <c r="V11" s="34">
        <v>0</v>
      </c>
      <c r="W11" s="79">
        <v>17979</v>
      </c>
    </row>
    <row r="12">
      <c r="A12" s="19"/>
      <c r="B12" s="19"/>
      <c r="C12" s="19"/>
      <c r="D12" s="14" t="str">
        <v>DADA NEXUS LTD</v>
      </c>
      <c r="E12" s="14">
        <v>548</v>
      </c>
      <c r="F12" s="34">
        <v>0.001</v>
      </c>
      <c r="G12" s="79">
        <v>41671</v>
      </c>
      <c r="T12" s="14"/>
      <c r="U12" s="14"/>
      <c r="V12" s="34"/>
      <c r="W12" s="79"/>
    </row>
    <row r="13">
      <c r="A13" s="19"/>
      <c r="B13" s="19"/>
      <c r="C13" s="19"/>
      <c r="D13" s="14" t="str">
        <v>BERKSHIRE HATHAWAY INC DEL</v>
      </c>
      <c r="E13" s="79">
        <v>241</v>
      </c>
      <c r="F13" s="34">
        <v>0</v>
      </c>
      <c r="G13" s="14">
        <v>805</v>
      </c>
      <c r="T13" s="14"/>
      <c r="U13" s="14"/>
      <c r="V13" s="34"/>
      <c r="W13" s="14"/>
    </row>
    <row r="14">
      <c r="A14" s="19"/>
      <c r="B14" s="80"/>
      <c r="C14" s="19"/>
      <c r="D14" s="19" t="str">
        <v>23Q1</v>
      </c>
      <c r="E14" s="19"/>
      <c r="F14" s="80"/>
      <c r="H14" s="15" t="str">
        <v>23Q2</v>
      </c>
      <c r="L14" s="15" t="str">
        <v>23Q3</v>
      </c>
      <c r="P14" s="15" t="str">
        <v>2023Q4</v>
      </c>
    </row>
    <row r="15">
      <c r="A15" s="19"/>
      <c r="B15" s="80"/>
      <c r="C15" s="19"/>
      <c r="D15" s="79" t="str">
        <v>Issuer Name</v>
      </c>
      <c r="E15" s="14" t="str">
        <v>Value ($000)</v>
      </c>
      <c r="F15" s="79" t="str">
        <v>%</v>
      </c>
      <c r="G15" s="14" t="str">
        <v>Shares</v>
      </c>
      <c r="H15" s="14" t="str">
        <v>Issuer Name</v>
      </c>
      <c r="I15" s="14" t="str">
        <v>Value ($000)</v>
      </c>
      <c r="J15" s="14" t="str">
        <v>%</v>
      </c>
      <c r="K15" s="14" t="str">
        <v>Shares</v>
      </c>
      <c r="L15" s="14" t="str">
        <v>Issuer Name</v>
      </c>
      <c r="M15" s="14" t="str">
        <v>Value ($000)</v>
      </c>
      <c r="N15" s="14" t="str">
        <v>%</v>
      </c>
      <c r="O15" s="14" t="str">
        <v>Shares</v>
      </c>
      <c r="P15" s="14" t="str">
        <v>Issuer Name</v>
      </c>
      <c r="Q15" s="14" t="str">
        <v>Value ($000)</v>
      </c>
      <c r="R15" s="14" t="str">
        <v>%</v>
      </c>
      <c r="S15" s="14" t="str">
        <v>Shares</v>
      </c>
    </row>
    <row r="16">
      <c r="A16" s="19"/>
      <c r="B16" s="19"/>
      <c r="C16" s="19"/>
      <c r="D16" s="14" t="str">
        <v>COUPANG INC</v>
      </c>
      <c r="E16" s="79">
        <v>459258</v>
      </c>
      <c r="F16" s="69">
        <v>0.72</v>
      </c>
      <c r="G16" s="79">
        <v>28703675</v>
      </c>
      <c r="H16" s="14" t="str">
        <v>COUPANG INC</v>
      </c>
      <c r="I16" s="79">
        <v>499443</v>
      </c>
      <c r="J16" s="69">
        <v>0.75</v>
      </c>
      <c r="K16" s="79">
        <v>28703675</v>
      </c>
      <c r="L16" s="14" t="str">
        <v>COUPANG INC</v>
      </c>
      <c r="M16" s="79">
        <v>487962</v>
      </c>
      <c r="N16" s="69">
        <v>0.84</v>
      </c>
      <c r="O16" s="79">
        <v>28703675</v>
      </c>
      <c r="P16" s="14" t="str">
        <v>COUPANG INC</v>
      </c>
      <c r="Q16" s="79">
        <v>464712</v>
      </c>
      <c r="R16" s="69">
        <v>0.86</v>
      </c>
      <c r="S16" s="79">
        <v>28703675</v>
      </c>
    </row>
    <row r="17">
      <c r="A17" s="19"/>
      <c r="B17" s="80"/>
      <c r="C17" s="19"/>
      <c r="D17" s="79" t="str">
        <v>SNOWFLAKE INC</v>
      </c>
      <c r="E17" s="79">
        <v>78728</v>
      </c>
      <c r="F17" s="69">
        <v>0.12</v>
      </c>
      <c r="G17" s="79">
        <v>510261</v>
      </c>
      <c r="H17" s="14" t="str">
        <v>SNOWFLAKE INC</v>
      </c>
      <c r="I17" s="79">
        <v>89795</v>
      </c>
      <c r="J17" s="69">
        <v>0.13</v>
      </c>
      <c r="K17" s="79">
        <v>510261</v>
      </c>
      <c r="L17" s="42" t="str">
        <v>SNOWFLAKE INC</v>
      </c>
      <c r="M17" s="79">
        <v>47398</v>
      </c>
      <c r="N17" s="34">
        <v>0.082</v>
      </c>
      <c r="O17" s="79">
        <v>310261</v>
      </c>
      <c r="P17" s="14" t="str">
        <v>BOSTON OMAHA CORP</v>
      </c>
      <c r="Q17" s="79">
        <v>38451</v>
      </c>
      <c r="R17" s="34">
        <v>0.071</v>
      </c>
      <c r="S17" s="79">
        <v>2444473</v>
      </c>
    </row>
    <row r="18">
      <c r="D18" s="14" t="str">
        <v>BOSTON OMAHA CORP</v>
      </c>
      <c r="E18" s="79">
        <v>61600</v>
      </c>
      <c r="F18" s="34">
        <v>0.096</v>
      </c>
      <c r="G18" s="79">
        <v>2602486</v>
      </c>
      <c r="H18" s="14" t="str">
        <v>BOSTON OMAHA CORP</v>
      </c>
      <c r="I18" s="79">
        <v>46004</v>
      </c>
      <c r="J18" s="34">
        <v>0.069</v>
      </c>
      <c r="K18" s="79">
        <v>2444473</v>
      </c>
      <c r="L18" s="14" t="str">
        <v>BOSTON OMAHA CORP</v>
      </c>
      <c r="M18" s="79">
        <v>40064</v>
      </c>
      <c r="N18" s="34">
        <v>0.069</v>
      </c>
      <c r="O18" s="79">
        <v>2444473</v>
      </c>
      <c r="P18" s="14" t="str">
        <v>COINBASE GLOBAL INC</v>
      </c>
      <c r="Q18" s="79">
        <v>19361</v>
      </c>
      <c r="R18" s="34">
        <v>0.036</v>
      </c>
      <c r="S18" s="79">
        <v>111322</v>
      </c>
    </row>
    <row r="19">
      <c r="D19" s="14" t="str">
        <v>ROBINHOOD MKTS INC</v>
      </c>
      <c r="E19" s="79">
        <v>20941</v>
      </c>
      <c r="F19" s="34">
        <v>0.033</v>
      </c>
      <c r="G19" s="79">
        <v>2156689</v>
      </c>
      <c r="H19" s="14" t="str">
        <v>GRAB HOLDINGS LIMITED</v>
      </c>
      <c r="I19" s="79">
        <v>13720</v>
      </c>
      <c r="J19" s="34">
        <v>0.021</v>
      </c>
      <c r="K19" s="79">
        <v>4000000</v>
      </c>
      <c r="L19" s="14" t="str">
        <v>SAMSARA INC</v>
      </c>
      <c r="M19" s="79">
        <v>3184</v>
      </c>
      <c r="N19" s="34">
        <v>0.005</v>
      </c>
      <c r="O19" s="79">
        <v>126330</v>
      </c>
      <c r="P19" s="14" t="str">
        <v>CONFLUENT INC</v>
      </c>
      <c r="Q19" s="79">
        <v>9727</v>
      </c>
      <c r="R19" s="34">
        <v>0.018</v>
      </c>
      <c r="S19" s="79">
        <v>415695</v>
      </c>
    </row>
    <row r="20">
      <c r="D20" s="14" t="str">
        <v>GRAB HOLDINGS LIMITED</v>
      </c>
      <c r="E20" s="79">
        <v>12040</v>
      </c>
      <c r="F20" s="34">
        <v>0.019</v>
      </c>
      <c r="G20" s="79">
        <v>4000000</v>
      </c>
      <c r="H20" s="42" t="str">
        <v>ROBINHOOD MKTS INC</v>
      </c>
      <c r="I20" s="79">
        <v>10806</v>
      </c>
      <c r="J20" s="34">
        <v>0.016</v>
      </c>
      <c r="K20" s="79">
        <v>1082815</v>
      </c>
      <c r="L20" s="14" t="str">
        <v>TEXTRON INC</v>
      </c>
      <c r="M20" s="79">
        <v>1250</v>
      </c>
      <c r="N20" s="34">
        <v>0.002</v>
      </c>
      <c r="O20" s="79">
        <v>16000</v>
      </c>
      <c r="P20" s="14" t="str">
        <v>APPLE INC</v>
      </c>
      <c r="Q20" s="79">
        <v>3615</v>
      </c>
      <c r="R20" s="34">
        <v>0.007</v>
      </c>
      <c r="S20" s="79">
        <v>18780</v>
      </c>
    </row>
    <row r="21">
      <c r="D21" s="14" t="str">
        <v>SAMSARA INC</v>
      </c>
      <c r="E21" s="79">
        <v>4691</v>
      </c>
      <c r="F21" s="34">
        <v>0.007</v>
      </c>
      <c r="G21" s="79">
        <v>237915</v>
      </c>
      <c r="H21" s="14" t="str">
        <v>EPSILON ENERGY LTD</v>
      </c>
      <c r="I21" s="79">
        <v>4694</v>
      </c>
      <c r="J21" s="34">
        <v>0.007</v>
      </c>
      <c r="K21" s="79">
        <v>879098</v>
      </c>
      <c r="L21" s="14" t="str">
        <v>PROCEPT BIOROBOTICS CORP</v>
      </c>
      <c r="M21" s="14">
        <v>790</v>
      </c>
      <c r="N21" s="34">
        <v>0.001</v>
      </c>
      <c r="O21" s="79">
        <v>24102</v>
      </c>
      <c r="P21" s="14" t="str">
        <v>TEXTRON INC</v>
      </c>
      <c r="Q21" s="79">
        <v>1286</v>
      </c>
      <c r="R21" s="34">
        <v>0.002</v>
      </c>
      <c r="S21" s="79">
        <v>16000</v>
      </c>
    </row>
    <row r="22">
      <c r="D22" s="14" t="str">
        <v>TEXTRON INC</v>
      </c>
      <c r="E22" s="14">
        <v>977</v>
      </c>
      <c r="F22" s="34">
        <v>0.002</v>
      </c>
      <c r="G22" s="79">
        <v>16000</v>
      </c>
      <c r="H22" s="14" t="str">
        <v>REPLIGEN CORP</v>
      </c>
      <c r="I22" s="79">
        <v>2772</v>
      </c>
      <c r="J22" s="34">
        <v>0.004</v>
      </c>
      <c r="K22" s="79">
        <v>19600</v>
      </c>
      <c r="L22" s="14" t="str">
        <v>CYMABAY THERAPEUTICS INC</v>
      </c>
      <c r="M22" s="14">
        <v>579</v>
      </c>
      <c r="N22" s="34">
        <v>0.001</v>
      </c>
      <c r="O22" s="79">
        <v>38894</v>
      </c>
      <c r="P22" s="14" t="str">
        <v>PROCEPT BIOROBOTICS CORP</v>
      </c>
      <c r="Q22" s="79">
        <v>1010</v>
      </c>
      <c r="R22" s="34">
        <v>0.002</v>
      </c>
      <c r="S22" s="79">
        <v>24102</v>
      </c>
    </row>
    <row r="23">
      <c r="D23" s="14" t="str">
        <v>PROCEPT BIOROBOTICS CORP</v>
      </c>
      <c r="E23" s="14">
        <v>684</v>
      </c>
      <c r="F23" s="34">
        <v>0.001</v>
      </c>
      <c r="G23" s="79">
        <v>24102</v>
      </c>
      <c r="H23" s="14" t="str">
        <v>TEXTRON INC</v>
      </c>
      <c r="I23" s="79">
        <v>1082</v>
      </c>
      <c r="J23" s="34">
        <v>0.002</v>
      </c>
      <c r="K23" s="79">
        <v>16000</v>
      </c>
      <c r="P23" s="14" t="str">
        <v>NVIDIA CORPORATION</v>
      </c>
      <c r="Q23" s="14">
        <v>668</v>
      </c>
      <c r="R23" s="34">
        <v>0.001</v>
      </c>
      <c r="S23" s="79">
        <v>1350</v>
      </c>
    </row>
    <row r="24">
      <c r="D24" s="14" t="str">
        <v>JPMORGAN CHASE &amp; CO</v>
      </c>
      <c r="E24" s="14">
        <v>516</v>
      </c>
      <c r="F24" s="34">
        <v>0.001</v>
      </c>
      <c r="G24" s="79">
        <v>3960</v>
      </c>
      <c r="H24" s="14" t="str">
        <v>PROCEPT BIOROBOTICS CORP</v>
      </c>
      <c r="I24" s="14">
        <v>852</v>
      </c>
      <c r="J24" s="34">
        <v>0.001</v>
      </c>
      <c r="K24" s="79">
        <v>24102</v>
      </c>
      <c r="P24" s="14" t="str">
        <v>VANGUARD INDEX FDS</v>
      </c>
      <c r="Q24" s="14">
        <v>582</v>
      </c>
      <c r="R24" s="34">
        <v>0.001</v>
      </c>
      <c r="S24" s="79">
        <v>2454</v>
      </c>
    </row>
    <row r="25">
      <c r="D25" s="14" t="str">
        <v>CISCO SYS INC</v>
      </c>
      <c r="E25" s="14">
        <v>205</v>
      </c>
      <c r="F25" s="34">
        <v>0</v>
      </c>
      <c r="G25" s="79">
        <v>3930</v>
      </c>
      <c r="P25" s="14" t="str">
        <v>AMGEN INC</v>
      </c>
      <c r="Q25" s="14">
        <v>201</v>
      </c>
      <c r="R25" s="34">
        <v>0</v>
      </c>
      <c r="S25" s="14">
        <v>700</v>
      </c>
    </row>
    <row r="26">
      <c r="D26" s="15" t="str">
        <v>2024Q1</v>
      </c>
      <c r="H26" s="15" t="str">
        <v>2024Q2</v>
      </c>
      <c r="L26" s="15" t="str">
        <v>2024Q3</v>
      </c>
      <c r="P26" s="15" t="str">
        <v>2024Q4</v>
      </c>
    </row>
    <row r="27">
      <c r="D27" s="14" t="str">
        <v>Issuer Name</v>
      </c>
      <c r="E27" s="14" t="str">
        <v>Value ($000)</v>
      </c>
      <c r="F27" s="14" t="str">
        <v>%</v>
      </c>
      <c r="G27" s="14" t="str">
        <v>Shares</v>
      </c>
      <c r="H27" s="14" t="str">
        <v>Issuer Name</v>
      </c>
      <c r="I27" s="14" t="str">
        <v>Value ($000)</v>
      </c>
      <c r="J27" s="14" t="str">
        <v>%</v>
      </c>
      <c r="K27" s="14" t="str">
        <v>Shares</v>
      </c>
      <c r="L27" s="14" t="str">
        <v>Issuer Name</v>
      </c>
      <c r="M27" s="14" t="str">
        <v>Value ($000)</v>
      </c>
      <c r="N27" s="14" t="str">
        <v>%</v>
      </c>
      <c r="O27" s="14" t="str">
        <v>Shares</v>
      </c>
      <c r="P27" s="14" t="str">
        <v>Issuer Name</v>
      </c>
      <c r="Q27" s="14" t="str">
        <v>Value ($000)</v>
      </c>
      <c r="R27" s="14" t="str">
        <v>%</v>
      </c>
      <c r="S27" s="14" t="str">
        <v>Shares</v>
      </c>
    </row>
    <row r="28">
      <c r="D28" s="14" t="str">
        <v>COUPANG INC</v>
      </c>
      <c r="E28" s="79">
        <v>510638</v>
      </c>
      <c r="F28" s="69">
        <v>0.92</v>
      </c>
      <c r="G28" s="79">
        <v>28703675</v>
      </c>
      <c r="H28" s="14" t="str">
        <v>COUPANG INC</v>
      </c>
      <c r="I28" s="79">
        <v>601341</v>
      </c>
      <c r="J28" s="69">
        <v>0.94</v>
      </c>
      <c r="K28" s="79">
        <v>28703675</v>
      </c>
      <c r="L28" s="14" t="str">
        <v>COUPANG INC</v>
      </c>
      <c r="M28" s="79">
        <v>704675</v>
      </c>
      <c r="N28" s="69">
        <v>0.94</v>
      </c>
      <c r="O28" s="79">
        <v>28703675</v>
      </c>
      <c r="P28" s="14" t="str">
        <v>COUPANG INC</v>
      </c>
      <c r="Q28" s="79">
        <v>630906</v>
      </c>
      <c r="R28" s="69">
        <v>0.9</v>
      </c>
      <c r="S28" s="79">
        <v>28703675</v>
      </c>
    </row>
    <row r="29">
      <c r="D29" s="14" t="str">
        <v>BOSTON OMAHA CORP</v>
      </c>
      <c r="E29" s="79">
        <v>37791</v>
      </c>
      <c r="F29" s="34">
        <v>0.068</v>
      </c>
      <c r="G29" s="79">
        <v>2444473</v>
      </c>
      <c r="H29" s="14" t="str">
        <v>BOSTON OMAHA CORP</v>
      </c>
      <c r="I29" s="79">
        <v>32902</v>
      </c>
      <c r="J29" s="34">
        <v>0.052</v>
      </c>
      <c r="K29" s="79">
        <v>2444473</v>
      </c>
      <c r="L29" s="14" t="str">
        <v>BOSTON OMAHA CORP</v>
      </c>
      <c r="M29" s="79">
        <v>36349</v>
      </c>
      <c r="N29" s="34">
        <v>0.049</v>
      </c>
      <c r="O29" s="79">
        <v>2444473</v>
      </c>
      <c r="P29" s="14" t="str">
        <v>BOSTON OMAHA CORP</v>
      </c>
      <c r="Q29" s="79">
        <v>34662</v>
      </c>
      <c r="R29" s="34">
        <v>0.049</v>
      </c>
      <c r="S29" s="79">
        <v>2444473</v>
      </c>
    </row>
    <row r="30">
      <c r="D30" s="14" t="str">
        <v>COINBASE GLOBAL INC</v>
      </c>
      <c r="E30" s="79">
        <v>7047</v>
      </c>
      <c r="F30" s="34">
        <v>0.013</v>
      </c>
      <c r="G30" s="79">
        <v>26581</v>
      </c>
      <c r="H30" s="14" t="str">
        <v>ADOBE INC</v>
      </c>
      <c r="I30" s="79">
        <v>1777</v>
      </c>
      <c r="J30" s="34">
        <v>0.003</v>
      </c>
      <c r="K30" s="79">
        <v>3200</v>
      </c>
      <c r="L30" s="14" t="str">
        <v>CATERPILLAR INC</v>
      </c>
      <c r="M30" s="79">
        <v>6537</v>
      </c>
      <c r="N30" s="34">
        <v>0.009</v>
      </c>
      <c r="O30" s="79">
        <v>16714</v>
      </c>
      <c r="P30" s="14" t="str">
        <v>TOAST INC</v>
      </c>
      <c r="Q30" s="79">
        <v>11254</v>
      </c>
      <c r="R30" s="34">
        <v>0.016</v>
      </c>
      <c r="S30" s="79">
        <v>308757</v>
      </c>
    </row>
    <row r="31">
      <c r="D31" s="14" t="str">
        <v>TEXTRON INC</v>
      </c>
      <c r="E31" s="79">
        <v>1534</v>
      </c>
      <c r="F31" s="34">
        <v>0.003</v>
      </c>
      <c r="G31" s="79">
        <v>16000</v>
      </c>
      <c r="H31" s="14" t="str">
        <v>PROCEPT BIOROBOTICS CORP</v>
      </c>
      <c r="I31" s="79">
        <v>1472</v>
      </c>
      <c r="J31" s="34">
        <v>0.002</v>
      </c>
      <c r="K31" s="79">
        <v>24102</v>
      </c>
      <c r="L31" s="14" t="str">
        <v>TEXTRON INC</v>
      </c>
      <c r="M31" s="79">
        <v>1417</v>
      </c>
      <c r="N31" s="34">
        <v>0.002</v>
      </c>
      <c r="O31" s="79">
        <v>16000</v>
      </c>
      <c r="P31" s="14" t="str">
        <v>SEA LTD</v>
      </c>
      <c r="Q31" s="79">
        <v>10510</v>
      </c>
      <c r="R31" s="34">
        <v>0.015</v>
      </c>
      <c r="S31" s="79">
        <v>99063</v>
      </c>
    </row>
    <row r="32">
      <c r="D32" s="14" t="str">
        <v>PROCEPT BIOROBOTICS CORP</v>
      </c>
      <c r="E32" s="79">
        <v>1191</v>
      </c>
      <c r="F32" s="34">
        <v>0.002</v>
      </c>
      <c r="G32" s="79">
        <v>24102</v>
      </c>
      <c r="H32" s="14" t="str">
        <v>TEXTRON INC</v>
      </c>
      <c r="I32" s="79">
        <v>1373</v>
      </c>
      <c r="J32" s="34">
        <v>0.002</v>
      </c>
      <c r="K32" s="79">
        <v>16000</v>
      </c>
      <c r="P32" s="14" t="str">
        <v>SAMSARA INC</v>
      </c>
      <c r="Q32" s="79">
        <v>9008</v>
      </c>
      <c r="R32" s="34">
        <v>0.013</v>
      </c>
      <c r="S32" s="79">
        <v>206197</v>
      </c>
    </row>
    <row r="33">
      <c r="D33" s="15"/>
      <c r="P33" s="14" t="str">
        <v>CATERPILLAR INC</v>
      </c>
      <c r="Q33" s="79">
        <v>6063</v>
      </c>
      <c r="R33" s="34">
        <v>0.009</v>
      </c>
      <c r="S33" s="79">
        <v>16714</v>
      </c>
    </row>
    <row r="34">
      <c r="D34" s="14"/>
      <c r="E34" s="14"/>
      <c r="F34" s="14"/>
      <c r="G34" s="14"/>
      <c r="P34" s="14" t="str">
        <v>TEXTRON INC</v>
      </c>
      <c r="Q34" s="79">
        <v>1223</v>
      </c>
      <c r="R34" s="34">
        <v>0.002</v>
      </c>
      <c r="S34" s="79">
        <v>16000</v>
      </c>
    </row>
    <row r="35">
      <c r="D35" s="14"/>
      <c r="E35" s="79"/>
      <c r="F35" s="69"/>
      <c r="G35" s="79"/>
      <c r="P35" s="14" t="str">
        <v>ROBINHOOD MKTS INC</v>
      </c>
      <c r="Q35" s="14">
        <v>682</v>
      </c>
      <c r="R35" s="34">
        <v>0.001</v>
      </c>
      <c r="S35" s="79">
        <v>18317</v>
      </c>
    </row>
    <row r="36">
      <c r="D36" s="14"/>
      <c r="E36" s="79"/>
      <c r="F36" s="34"/>
      <c r="G36" s="79"/>
      <c r="P36" s="14" t="str">
        <v>APPLE INC</v>
      </c>
      <c r="Q36" s="14">
        <v>607</v>
      </c>
      <c r="R36" s="34">
        <v>0.001</v>
      </c>
      <c r="S36" s="79">
        <v>2410</v>
      </c>
    </row>
    <row r="37">
      <c r="D37" s="14"/>
      <c r="E37" s="79"/>
      <c r="F37" s="34"/>
      <c r="G37" s="79"/>
      <c r="P37" s="14" t="str">
        <v>NVIDIA CORPORATION</v>
      </c>
      <c r="Q37" s="14">
        <v>214</v>
      </c>
      <c r="R37" s="34">
        <v>0</v>
      </c>
      <c r="S37" s="79">
        <v>1600</v>
      </c>
    </row>
    <row r="38">
      <c r="D38" s="15" t="str">
        <v>2025Q1</v>
      </c>
    </row>
    <row r="39">
      <c r="D39" s="14" t="str">
        <v>Issuer Name</v>
      </c>
      <c r="E39" s="14" t="str">
        <v>Value ($000)</v>
      </c>
      <c r="F39" s="14" t="str">
        <v>%</v>
      </c>
      <c r="G39" s="14" t="str">
        <v>Shares</v>
      </c>
    </row>
    <row r="40">
      <c r="D40" s="14" t="str">
        <v>COUPANG INC</v>
      </c>
      <c r="E40" s="79">
        <v>629471</v>
      </c>
      <c r="F40" s="69">
        <v>0.89</v>
      </c>
      <c r="G40" s="79">
        <v>28703675</v>
      </c>
    </row>
    <row r="41">
      <c r="D41" s="14" t="str">
        <v>BOSTON OMAHA CORP</v>
      </c>
      <c r="E41" s="79">
        <v>35640</v>
      </c>
      <c r="F41" s="34">
        <v>0.05</v>
      </c>
      <c r="G41" s="79">
        <v>2444473</v>
      </c>
    </row>
    <row r="42">
      <c r="D42" s="14" t="str">
        <v>NU HLDGS LTD</v>
      </c>
      <c r="E42" s="79">
        <v>21670</v>
      </c>
      <c r="F42" s="34">
        <v>0.031</v>
      </c>
      <c r="G42" s="79">
        <v>2116255</v>
      </c>
    </row>
    <row r="43">
      <c r="D43" s="14" t="str">
        <v>RUBRIK INC.</v>
      </c>
      <c r="E43" s="79">
        <v>11077</v>
      </c>
      <c r="F43" s="34">
        <v>0.016</v>
      </c>
      <c r="G43" s="79">
        <v>181661</v>
      </c>
    </row>
    <row r="44">
      <c r="D44" s="14" t="str">
        <v>WARBY PARKER INC</v>
      </c>
      <c r="E44" s="79">
        <v>8166</v>
      </c>
      <c r="F44" s="34">
        <v>0.012</v>
      </c>
      <c r="G44" s="79">
        <v>447958</v>
      </c>
    </row>
    <row r="45">
      <c r="D45" s="14" t="str">
        <v>TEXTRON INC</v>
      </c>
      <c r="E45" s="79">
        <v>1156</v>
      </c>
      <c r="F45" s="34">
        <v>0.002</v>
      </c>
      <c r="G45" s="79">
        <v>16000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