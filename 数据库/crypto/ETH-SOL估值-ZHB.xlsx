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340"/>
  </bookViews>
  <sheets>
    <sheet name="估值计算" sheetId="1" r:id="rId1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<sst xmlns="http://schemas.openxmlformats.org/spreadsheetml/2006/main" count="92" uniqueCount="63">
  <si>
    <r>
      <rPr>
        <b/>
        <sz val="12"/>
        <color theme="0"/>
        <rFont val="Times New Roman"/>
        <charset val="134"/>
      </rPr>
      <t xml:space="preserve">ETH </t>
    </r>
    <r>
      <rPr>
        <b/>
        <sz val="12"/>
        <color theme="0"/>
        <rFont val="楷体"/>
        <charset val="134"/>
      </rPr>
      <t>过去一年收入情况</t>
    </r>
  </si>
  <si>
    <t>2024-Bear</t>
  </si>
  <si>
    <t>2024-Base</t>
  </si>
  <si>
    <t>2024-Bull</t>
  </si>
  <si>
    <r>
      <rPr>
        <sz val="12"/>
        <color theme="1"/>
        <rFont val="楷体"/>
        <charset val="134"/>
      </rPr>
      <t>假设说明：</t>
    </r>
    <r>
      <rPr>
        <sz val="12"/>
        <color theme="1"/>
        <rFont val="Times New Roman"/>
        <charset val="134"/>
      </rPr>
      <t>4844</t>
    </r>
    <r>
      <rPr>
        <sz val="12"/>
        <color theme="1"/>
        <rFont val="楷体"/>
        <charset val="134"/>
      </rPr>
      <t>以后</t>
    </r>
  </si>
  <si>
    <r>
      <rPr>
        <sz val="11"/>
        <color theme="1"/>
        <rFont val="楷体"/>
        <charset val="134"/>
      </rPr>
      <t>收入（百万美元）</t>
    </r>
  </si>
  <si>
    <r>
      <rPr>
        <sz val="12"/>
        <color theme="1"/>
        <rFont val="Times New Roman"/>
        <charset val="134"/>
      </rPr>
      <t>L2</t>
    </r>
    <r>
      <rPr>
        <sz val="12"/>
        <color theme="1"/>
        <rFont val="楷体"/>
        <charset val="134"/>
      </rPr>
      <t>贡献的收入（百万美元）</t>
    </r>
  </si>
  <si>
    <t>假设说明：核对了Blobs费用收入，交税主力军是Taiko为首的Based rollup，而非Base
bull case取11.12.1的数据/3*12
base case取(8月到1月)*2；
bear case取（8.9.10）/3*12</t>
  </si>
  <si>
    <t>目前年交易次数（百万）</t>
  </si>
  <si>
    <t>单次交易的收入（除去L2贡献的，美元）</t>
  </si>
  <si>
    <r>
      <rPr>
        <b/>
        <sz val="11"/>
        <color theme="0"/>
        <rFont val="楷体"/>
        <charset val="134"/>
      </rPr>
      <t>未来3-5年</t>
    </r>
    <r>
      <rPr>
        <b/>
        <sz val="11"/>
        <color theme="0"/>
        <rFont val="Times New Roman"/>
        <charset val="134"/>
      </rPr>
      <t>:L1</t>
    </r>
    <r>
      <rPr>
        <b/>
        <sz val="11"/>
        <color theme="0"/>
        <rFont val="楷体"/>
        <charset val="134"/>
      </rPr>
      <t>执行层收入</t>
    </r>
  </si>
  <si>
    <r>
      <rPr>
        <sz val="12"/>
        <color theme="1"/>
        <rFont val="楷体"/>
        <charset val="134"/>
      </rPr>
      <t>假设说明：在主网上发生的执行收入（不包含</t>
    </r>
    <r>
      <rPr>
        <sz val="12"/>
        <color theme="1"/>
        <rFont val="Times New Roman"/>
        <charset val="134"/>
      </rPr>
      <t>L2</t>
    </r>
    <r>
      <rPr>
        <sz val="12"/>
        <color theme="1"/>
        <rFont val="楷体"/>
        <charset val="134"/>
      </rPr>
      <t>提交的费用）https://dune.com/hildobby/blobs</t>
    </r>
  </si>
  <si>
    <t>Bear</t>
  </si>
  <si>
    <t>Base</t>
  </si>
  <si>
    <t>Bull</t>
  </si>
  <si>
    <t>目前单次交易收入（美元）</t>
  </si>
  <si>
    <t>单次交易收入的下降倍数</t>
  </si>
  <si>
    <t>未来单次交易收入（美元）</t>
  </si>
  <si>
    <t>年交易次数上升倍数</t>
  </si>
  <si>
    <t>https://tokenterminal.com/explorer/studio/dashboards/11974884-5d10-4e90-91be-ffc77ddb105b?expandChartId=ae1ff544-97eb-42de-8504-a41c87ba04d9</t>
  </si>
  <si>
    <t>未来年交易次数（百万）</t>
  </si>
  <si>
    <r>
      <rPr>
        <sz val="12"/>
        <color theme="1"/>
        <rFont val="楷体"/>
        <charset val="134"/>
      </rPr>
      <t>未来收入（百万美元）</t>
    </r>
  </si>
  <si>
    <r>
      <rPr>
        <sz val="11"/>
        <color rgb="FF800080"/>
        <rFont val="等线"/>
        <charset val="134"/>
        <scheme val="minor"/>
      </rPr>
      <t>二层收入</t>
    </r>
    <r>
      <rPr>
        <u/>
        <sz val="11"/>
        <color rgb="FF800080"/>
        <rFont val="等线"/>
        <charset val="134"/>
        <scheme val="minor"/>
      </rPr>
      <t>https://tokenterminal.com/explorer/studio/dashboards/cf4f2010-c412-4bc7-b5ab-76dd866828e6?expandChartId=09392b43-ecb7-4a08-95b1-ea5afa9872da</t>
    </r>
  </si>
  <si>
    <r>
      <rPr>
        <b/>
        <sz val="11"/>
        <color theme="0"/>
        <rFont val="楷体"/>
        <charset val="134"/>
      </rPr>
      <t>未来3-5年</t>
    </r>
    <r>
      <rPr>
        <b/>
        <sz val="11"/>
        <color theme="0"/>
        <rFont val="Times New Roman"/>
        <charset val="134"/>
      </rPr>
      <t>:L2</t>
    </r>
    <r>
      <rPr>
        <b/>
        <sz val="11"/>
        <color theme="0"/>
        <rFont val="楷体"/>
        <charset val="134"/>
      </rPr>
      <t>上交主网收入</t>
    </r>
  </si>
  <si>
    <r>
      <rPr>
        <sz val="12"/>
        <color theme="1"/>
        <rFont val="楷体"/>
        <charset val="134"/>
      </rPr>
      <t>按目前最大的</t>
    </r>
    <r>
      <rPr>
        <sz val="12"/>
        <color theme="1"/>
        <rFont val="Times New Roman"/>
        <charset val="134"/>
      </rPr>
      <t>Based rollup Taiko</t>
    </r>
    <r>
      <rPr>
        <sz val="12"/>
        <color theme="1"/>
        <rFont val="楷体"/>
        <charset val="134"/>
      </rPr>
      <t>给出的数据，其上缴给主网的</t>
    </r>
    <r>
      <rPr>
        <sz val="12"/>
        <color theme="1"/>
        <rFont val="Times New Roman"/>
        <charset val="134"/>
      </rPr>
      <t>Blobfee</t>
    </r>
    <r>
      <rPr>
        <sz val="12"/>
        <color theme="1"/>
        <rFont val="楷体"/>
        <charset val="134"/>
      </rPr>
      <t>接近总收入的70%</t>
    </r>
  </si>
  <si>
    <r>
      <rPr>
        <sz val="12"/>
        <color theme="1"/>
        <rFont val="Times New Roman"/>
        <charset val="134"/>
      </rPr>
      <t>Based rollup</t>
    </r>
    <r>
      <rPr>
        <sz val="12"/>
        <color theme="1"/>
        <rFont val="楷体"/>
        <charset val="134"/>
      </rPr>
      <t xml:space="preserve"> 税率70%；
</t>
    </r>
    <r>
      <rPr>
        <sz val="12"/>
        <color theme="1"/>
        <rFont val="Times New Roman"/>
        <charset val="134"/>
      </rPr>
      <t>Optimistic</t>
    </r>
    <r>
      <rPr>
        <sz val="12"/>
        <color theme="1"/>
        <rFont val="楷体"/>
        <charset val="134"/>
      </rPr>
      <t xml:space="preserve"> </t>
    </r>
    <r>
      <rPr>
        <sz val="12"/>
        <color theme="1"/>
        <rFont val="Times New Roman"/>
        <charset val="134"/>
      </rPr>
      <t>/ ZK</t>
    </r>
    <r>
      <rPr>
        <sz val="12"/>
        <color theme="1"/>
        <rFont val="楷体"/>
        <charset val="134"/>
      </rPr>
      <t>（中心化</t>
    </r>
    <r>
      <rPr>
        <sz val="12"/>
        <color theme="1"/>
        <rFont val="Times New Roman"/>
        <charset val="134"/>
      </rPr>
      <t xml:space="preserve"> Sequencer</t>
    </r>
    <r>
      <rPr>
        <sz val="12"/>
        <color theme="1"/>
        <rFont val="楷体"/>
        <charset val="134"/>
      </rPr>
      <t>）税率5%</t>
    </r>
  </si>
  <si>
    <t>假设说明：4844以后取牛市-熊市对应的周度交易次数*52</t>
  </si>
  <si>
    <r>
      <rPr>
        <sz val="11"/>
        <color rgb="FFFF0000"/>
        <rFont val="Times New Roman"/>
        <charset val="134"/>
      </rPr>
      <t xml:space="preserve">Blobs </t>
    </r>
    <r>
      <rPr>
        <sz val="11"/>
        <color rgb="FFFF0000"/>
        <rFont val="楷体"/>
        <charset val="134"/>
      </rPr>
      <t>收费税率</t>
    </r>
  </si>
  <si>
    <t>未来上交主网收入（百万美元）</t>
  </si>
  <si>
    <r>
      <rPr>
        <b/>
        <sz val="11"/>
        <color theme="0"/>
        <rFont val="Times New Roman"/>
        <charset val="134"/>
      </rPr>
      <t>ETH</t>
    </r>
    <r>
      <rPr>
        <b/>
        <sz val="11"/>
        <color theme="0"/>
        <rFont val="楷体"/>
        <charset val="134"/>
      </rPr>
      <t>估值</t>
    </r>
  </si>
  <si>
    <r>
      <rPr>
        <b/>
        <sz val="12"/>
        <color theme="1"/>
        <rFont val="Times New Roman"/>
        <charset val="134"/>
      </rPr>
      <t>ETH PS</t>
    </r>
    <r>
      <rPr>
        <b/>
        <sz val="12"/>
        <color theme="1"/>
        <rFont val="楷体"/>
        <charset val="134"/>
      </rPr>
      <t xml:space="preserve"> 变化</t>
    </r>
    <r>
      <rPr>
        <b/>
        <sz val="12"/>
        <color theme="1"/>
        <rFont val="Times New Roman"/>
        <charset val="134"/>
      </rPr>
      <t xml:space="preserve"> source</t>
    </r>
    <r>
      <rPr>
        <b/>
        <sz val="12"/>
        <color theme="1"/>
        <rFont val="楷体"/>
        <charset val="134"/>
      </rPr>
      <t>：</t>
    </r>
    <r>
      <rPr>
        <b/>
        <sz val="12"/>
        <color theme="1"/>
        <rFont val="Times New Roman"/>
        <charset val="134"/>
      </rPr>
      <t>token terminal</t>
    </r>
  </si>
  <si>
    <t>总收入（百万美元）</t>
  </si>
  <si>
    <t>PS</t>
  </si>
  <si>
    <t>市值（亿美元）</t>
  </si>
  <si>
    <r>
      <rPr>
        <sz val="11"/>
        <color theme="1"/>
        <rFont val="Times New Roman"/>
        <charset val="134"/>
      </rPr>
      <t>ETH</t>
    </r>
    <r>
      <rPr>
        <sz val="11"/>
        <color theme="1"/>
        <rFont val="楷体"/>
        <charset val="134"/>
      </rPr>
      <t>总量（亿）</t>
    </r>
  </si>
  <si>
    <r>
      <rPr>
        <sz val="11"/>
        <color theme="1"/>
        <rFont val="Times New Roman"/>
        <charset val="134"/>
      </rPr>
      <t>ETH</t>
    </r>
    <r>
      <rPr>
        <sz val="11"/>
        <color theme="1"/>
        <rFont val="楷体"/>
        <charset val="134"/>
      </rPr>
      <t>价格</t>
    </r>
  </si>
  <si>
    <t xml:space="preserve">假设说明
收入模式：以太坊的核心商业模式是售卖计算和存储空间,有两种收入来源：1）以L1作为执行层的Gas收入（Base fee+Priority fee）；2）通过L2上交的Blob 费用盈利；
1.L1扩容的方向是未来一年的主要路线图，也是ETH价值捕获的胜负手，是我们对ETH估值的关键博弈点
2.Based rollup 税率70%；
Optimistic / ZK（中心化 Sequencer）税率5%
3.年交易次数上升倍数的假设依据：以太坊下轮周期有高价值用例回流到主网，同时L2交易次数实现温和扩张
4.PS的假设依据：参考了自EIP-4844以来（经济模式的大变革节点）的熊市和牛市PS区间
</t>
  </si>
  <si>
    <r>
      <rPr>
        <sz val="12"/>
        <color theme="0"/>
        <rFont val="Times New Roman"/>
        <charset val="134"/>
      </rPr>
      <t>Solana 2024</t>
    </r>
    <r>
      <rPr>
        <sz val="12"/>
        <color theme="0"/>
        <rFont val="宋体"/>
        <charset val="134"/>
      </rPr>
      <t>一年收入情况</t>
    </r>
  </si>
  <si>
    <t>指标</t>
  </si>
  <si>
    <t>Bullcase取Q4 2024费用*4</t>
  </si>
  <si>
    <t>收入（百万美元）</t>
  </si>
  <si>
    <t>Basecase取Q3 2024费用*4</t>
  </si>
  <si>
    <t>年交易笔数（百万）</t>
  </si>
  <si>
    <t>Bearcase取Q2 2024费用*4</t>
  </si>
  <si>
    <t>单次交易收入（美元）</t>
  </si>
  <si>
    <r>
      <rPr>
        <sz val="12"/>
        <color theme="0"/>
        <rFont val="楷体"/>
        <charset val="134"/>
      </rPr>
      <t>未来</t>
    </r>
    <r>
      <rPr>
        <sz val="12"/>
        <color theme="0"/>
        <rFont val="Times New Roman"/>
        <charset val="134"/>
      </rPr>
      <t>3-5</t>
    </r>
    <r>
      <rPr>
        <sz val="12"/>
        <color theme="0"/>
        <rFont val="楷体"/>
        <charset val="134"/>
      </rPr>
      <t>年</t>
    </r>
    <r>
      <rPr>
        <sz val="12"/>
        <color theme="0"/>
        <rFont val="Times New Roman"/>
        <charset val="134"/>
      </rPr>
      <t xml:space="preserve"> Solana</t>
    </r>
    <r>
      <rPr>
        <sz val="12"/>
        <color theme="0"/>
        <rFont val="楷体"/>
        <charset val="134"/>
      </rPr>
      <t>的收入</t>
    </r>
  </si>
  <si>
    <t>Sol流通量</t>
  </si>
  <si>
    <t>年份</t>
  </si>
  <si>
    <t>当前单次交易收入(美元)</t>
  </si>
  <si>
    <t>第 n 年</t>
  </si>
  <si>
    <t>单次交易收入下降倍数</t>
  </si>
  <si>
    <t>通胀率（%）</t>
  </si>
  <si>
    <t>未来单次交易收入 (美元)</t>
  </si>
  <si>
    <t>通胀乘数</t>
  </si>
  <si>
    <t>累乘系数</t>
  </si>
  <si>
    <t>年交易数上升倍数</t>
  </si>
  <si>
    <t>Sol流通量（百万）</t>
  </si>
  <si>
    <t>未来年交易笔数（百万）</t>
  </si>
  <si>
    <t>未来收入(百万美元)</t>
  </si>
  <si>
    <r>
      <rPr>
        <sz val="12"/>
        <color theme="0"/>
        <rFont val="Times New Roman"/>
        <charset val="134"/>
      </rPr>
      <t>SOL</t>
    </r>
    <r>
      <rPr>
        <sz val="12"/>
        <color theme="0"/>
        <rFont val="楷体"/>
        <charset val="134"/>
      </rPr>
      <t>估值</t>
    </r>
  </si>
  <si>
    <t>稀释后流通量2028E（亿）</t>
  </si>
  <si>
    <t>SOL 目标价(美元）</t>
  </si>
  <si>
    <t>稀释后流通量2030E（亿）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</si>
</sst>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0_);[Red]\(0.00\)"/>
    <numFmt numFmtId="178" formatCode="0_);[Red]\(0\)"/>
    <numFmt numFmtId="179" formatCode="0.00_ "/>
    <numFmt numFmtId="180" formatCode="0.0_ "/>
    <numFmt numFmtId="181" formatCode="0.000_ "/>
    <numFmt numFmtId="182" formatCode="0_ "/>
    <numFmt numFmtId="183" formatCode="0.0000_ "/>
    <numFmt numFmtId="184" formatCode="&quot;$&quot;#,##0_);[Red]\(&quot;$&quot;#,##0\)"/>
  </numFmts>
  <fonts count="46">
    <font>
      <sz val="12"/>
      <color theme="1"/>
      <name val="等线"/>
      <charset val="134"/>
      <scheme val="minor"/>
    </font>
    <font>
      <b/>
      <sz val="12"/>
      <color theme="0"/>
      <name val="Times New Roman"/>
      <charset val="134"/>
    </font>
    <font>
      <sz val="12"/>
      <color theme="0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楷体"/>
      <charset val="134"/>
    </font>
    <font>
      <sz val="12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sz val="11"/>
      <color theme="0"/>
      <name val="Times New Roman"/>
      <charset val="134"/>
    </font>
    <font>
      <sz val="11"/>
      <color rgb="FFFF0000"/>
      <name val="楷体"/>
      <charset val="134"/>
    </font>
    <font>
      <sz val="11"/>
      <color rgb="FFFF0000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b/>
      <sz val="11"/>
      <color theme="0"/>
      <name val="Times New Roman"/>
      <charset val="134"/>
    </font>
    <font>
      <b/>
      <sz val="12"/>
      <color theme="1"/>
      <name val="Times New Roman"/>
      <charset val="134"/>
    </font>
    <font>
      <b/>
      <sz val="12"/>
      <color theme="1"/>
      <name val="楷体"/>
      <charset val="134"/>
    </font>
    <font>
      <sz val="12"/>
      <name val="楷体"/>
      <charset val="134"/>
    </font>
    <font>
      <sz val="12"/>
      <color theme="0"/>
      <name val="楷体"/>
      <charset val="134"/>
    </font>
    <font>
      <b/>
      <sz val="12"/>
      <color theme="0"/>
      <name val="Kaiti SC Regular"/>
      <charset val="134"/>
    </font>
    <font>
      <b/>
      <sz val="12"/>
      <name val="Kaiti SC Regular"/>
      <charset val="134"/>
    </font>
    <font>
      <u/>
      <sz val="11"/>
      <color rgb="FF0000FF"/>
      <name val="等线"/>
      <charset val="134"/>
      <scheme val="minor"/>
    </font>
    <font>
      <sz val="11"/>
      <color rgb="FF80008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2"/>
      <color theme="0"/>
      <name val="宋体"/>
      <charset val="134"/>
    </font>
    <font>
      <b/>
      <sz val="12"/>
      <color theme="0"/>
      <name val="楷体"/>
      <charset val="134"/>
    </font>
    <font>
      <u/>
      <sz val="11"/>
      <color rgb="FF80008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3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9" applyNumberFormat="0" applyAlignment="0" applyProtection="0">
      <alignment vertical="center"/>
    </xf>
    <xf numFmtId="0" fontId="32" fillId="5" borderId="10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4" fillId="6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2" fillId="0" borderId="0"/>
    <xf numFmtId="0" fontId="42" fillId="0" borderId="0"/>
  </cellStyleXfs>
  <cellXfs count="6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/>
    </xf>
    <xf numFmtId="176" fontId="3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center"/>
    </xf>
    <xf numFmtId="177" fontId="3" fillId="0" borderId="2" xfId="0" applyNumberFormat="1" applyFont="1" applyBorder="1" applyAlignment="1">
      <alignment horizontal="center" vertical="center"/>
    </xf>
    <xf numFmtId="0" fontId="6" fillId="0" borderId="0" xfId="0" applyFont="1" applyAlignment="1"/>
    <xf numFmtId="176" fontId="3" fillId="0" borderId="0" xfId="0" applyNumberFormat="1" applyFont="1">
      <alignment vertical="center"/>
    </xf>
    <xf numFmtId="0" fontId="8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8" fontId="3" fillId="0" borderId="0" xfId="0" applyNumberFormat="1" applyFont="1">
      <alignment vertical="center"/>
    </xf>
    <xf numFmtId="179" fontId="3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179" fontId="11" fillId="0" borderId="3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5" xfId="0" applyNumberFormat="1" applyFont="1" applyBorder="1" applyAlignment="1">
      <alignment horizontal="center" vertical="center"/>
    </xf>
    <xf numFmtId="180" fontId="3" fillId="0" borderId="2" xfId="0" applyNumberFormat="1" applyFont="1" applyBorder="1" applyAlignment="1">
      <alignment horizontal="center" vertical="center"/>
    </xf>
    <xf numFmtId="180" fontId="12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9" fontId="5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81" fontId="12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3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79" fontId="12" fillId="0" borderId="2" xfId="0" applyNumberFormat="1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/>
    </xf>
    <xf numFmtId="0" fontId="15" fillId="0" borderId="0" xfId="0" applyFont="1">
      <alignment vertical="center"/>
    </xf>
    <xf numFmtId="0" fontId="0" fillId="0" borderId="2" xfId="0" applyBorder="1">
      <alignment vertical="center"/>
    </xf>
    <xf numFmtId="0" fontId="12" fillId="0" borderId="2" xfId="0" applyFont="1" applyBorder="1" applyAlignment="1">
      <alignment horizontal="center" vertical="center"/>
    </xf>
    <xf numFmtId="182" fontId="3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3" fontId="13" fillId="0" borderId="2" xfId="0" applyNumberFormat="1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/>
    </xf>
    <xf numFmtId="0" fontId="18" fillId="2" borderId="2" xfId="0" applyFont="1" applyFill="1" applyBorder="1" applyAlignment="1">
      <alignment horizontal="center" wrapText="1"/>
    </xf>
    <xf numFmtId="0" fontId="19" fillId="2" borderId="3" xfId="0" applyFont="1" applyFill="1" applyBorder="1" applyAlignment="1">
      <alignment horizontal="center" wrapText="1"/>
    </xf>
    <xf numFmtId="0" fontId="19" fillId="2" borderId="4" xfId="0" applyFont="1" applyFill="1" applyBorder="1" applyAlignment="1">
      <alignment horizontal="center" wrapText="1"/>
    </xf>
    <xf numFmtId="0" fontId="20" fillId="0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183" fontId="20" fillId="0" borderId="2" xfId="0" applyNumberFormat="1" applyFont="1" applyFill="1" applyBorder="1" applyAlignment="1">
      <alignment horizontal="center" vertical="center" wrapText="1"/>
    </xf>
    <xf numFmtId="0" fontId="21" fillId="0" borderId="0" xfId="6">
      <alignment vertical="center"/>
    </xf>
    <xf numFmtId="0" fontId="22" fillId="0" borderId="0" xfId="6" applyFont="1">
      <alignment vertical="center"/>
    </xf>
    <xf numFmtId="0" fontId="19" fillId="2" borderId="5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184" fontId="13" fillId="0" borderId="2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1474019088017"/>
          <c:y val="0.242440409446235"/>
          <c:w val="0.915714076889344"/>
          <c:h val="0.570663973744004"/>
        </c:manualLayout>
      </c:layout>
      <c:lineChart>
        <c:grouping val="standard"/>
        <c:varyColors val="0"/>
        <c:ser>
          <c:idx val="0"/>
          <c:order val="0"/>
          <c:tx>
            <c:strRef>
              <c:f>[1]Sheet1!$B$1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[1]Sheet1!$A$2:$A$14</c:f>
              <c:numCache>
                <c:formatCode>General</c:formatCode>
                <c:ptCount val="13"/>
                <c:pt idx="0">
                  <c:v>24.4</c:v>
                </c:pt>
                <c:pt idx="1">
                  <c:v>24.5</c:v>
                </c:pt>
                <c:pt idx="2">
                  <c:v>24.6</c:v>
                </c:pt>
                <c:pt idx="3">
                  <c:v>24.7</c:v>
                </c:pt>
                <c:pt idx="4">
                  <c:v>24.8</c:v>
                </c:pt>
                <c:pt idx="5">
                  <c:v>24.9</c:v>
                </c:pt>
                <c:pt idx="6">
                  <c:v>24.1</c:v>
                </c:pt>
                <c:pt idx="7">
                  <c:v>24.11</c:v>
                </c:pt>
                <c:pt idx="8">
                  <c:v>24.12</c:v>
                </c:pt>
                <c:pt idx="9">
                  <c:v>25.1</c:v>
                </c:pt>
                <c:pt idx="10">
                  <c:v>25.2</c:v>
                </c:pt>
                <c:pt idx="11">
                  <c:v>25.3</c:v>
                </c:pt>
                <c:pt idx="12">
                  <c:v>25.4</c:v>
                </c:pt>
              </c:numCache>
            </c:numRef>
          </c:cat>
          <c:val>
            <c:numRef>
              <c:f>[1]Sheet1!$B$2:$B$14</c:f>
              <c:numCache>
                <c:formatCode>General</c:formatCode>
                <c:ptCount val="13"/>
                <c:pt idx="0">
                  <c:v>113.6</c:v>
                </c:pt>
                <c:pt idx="1">
                  <c:v>385.17</c:v>
                </c:pt>
                <c:pt idx="2">
                  <c:v>319.11</c:v>
                </c:pt>
                <c:pt idx="3">
                  <c:v>522.75</c:v>
                </c:pt>
                <c:pt idx="4">
                  <c:v>542.6</c:v>
                </c:pt>
                <c:pt idx="5">
                  <c:v>910.82</c:v>
                </c:pt>
                <c:pt idx="6">
                  <c:v>254.7</c:v>
                </c:pt>
                <c:pt idx="7">
                  <c:v>257.2</c:v>
                </c:pt>
                <c:pt idx="8">
                  <c:v>196.2</c:v>
                </c:pt>
                <c:pt idx="9">
                  <c:v>269.3</c:v>
                </c:pt>
                <c:pt idx="10">
                  <c:v>437.4</c:v>
                </c:pt>
                <c:pt idx="11">
                  <c:v>1550</c:v>
                </c:pt>
                <c:pt idx="12">
                  <c:v>2309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[1]Sheet1!$C$1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[1]Sheet1!$A$2:$A$14</c:f>
              <c:numCache>
                <c:formatCode>General</c:formatCode>
                <c:ptCount val="13"/>
                <c:pt idx="0">
                  <c:v>24.4</c:v>
                </c:pt>
                <c:pt idx="1">
                  <c:v>24.5</c:v>
                </c:pt>
                <c:pt idx="2">
                  <c:v>24.6</c:v>
                </c:pt>
                <c:pt idx="3">
                  <c:v>24.7</c:v>
                </c:pt>
                <c:pt idx="4">
                  <c:v>24.8</c:v>
                </c:pt>
                <c:pt idx="5">
                  <c:v>24.9</c:v>
                </c:pt>
                <c:pt idx="6">
                  <c:v>24.1</c:v>
                </c:pt>
                <c:pt idx="7">
                  <c:v>24.11</c:v>
                </c:pt>
                <c:pt idx="8">
                  <c:v>24.12</c:v>
                </c:pt>
                <c:pt idx="9">
                  <c:v>25.1</c:v>
                </c:pt>
                <c:pt idx="10">
                  <c:v>25.2</c:v>
                </c:pt>
                <c:pt idx="11">
                  <c:v>25.3</c:v>
                </c:pt>
                <c:pt idx="12">
                  <c:v>25.4</c:v>
                </c:pt>
              </c:numCache>
            </c:numRef>
          </c:cat>
          <c:val>
            <c:numRef>
              <c:f>[1]Sheet1!$C$2:$C$14</c:f>
              <c:numCache>
                <c:formatCode>General</c:formatCode>
                <c:ptCount val="13"/>
              </c:numCache>
            </c:numRef>
          </c:val>
          <c:smooth val="0"/>
        </c:ser>
        <c:ser>
          <c:idx val="2"/>
          <c:order val="2"/>
          <c:tx>
            <c:strRef>
              <c:f>[1]Sheet1!$D$1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[1]Sheet1!$A$2:$A$14</c:f>
              <c:numCache>
                <c:formatCode>General</c:formatCode>
                <c:ptCount val="13"/>
                <c:pt idx="0">
                  <c:v>24.4</c:v>
                </c:pt>
                <c:pt idx="1">
                  <c:v>24.5</c:v>
                </c:pt>
                <c:pt idx="2">
                  <c:v>24.6</c:v>
                </c:pt>
                <c:pt idx="3">
                  <c:v>24.7</c:v>
                </c:pt>
                <c:pt idx="4">
                  <c:v>24.8</c:v>
                </c:pt>
                <c:pt idx="5">
                  <c:v>24.9</c:v>
                </c:pt>
                <c:pt idx="6">
                  <c:v>24.1</c:v>
                </c:pt>
                <c:pt idx="7">
                  <c:v>24.11</c:v>
                </c:pt>
                <c:pt idx="8">
                  <c:v>24.12</c:v>
                </c:pt>
                <c:pt idx="9">
                  <c:v>25.1</c:v>
                </c:pt>
                <c:pt idx="10">
                  <c:v>25.2</c:v>
                </c:pt>
                <c:pt idx="11">
                  <c:v>25.3</c:v>
                </c:pt>
                <c:pt idx="12">
                  <c:v>25.4</c:v>
                </c:pt>
              </c:numCache>
            </c:numRef>
          </c:cat>
          <c:val>
            <c:numRef>
              <c:f>[1]Sheet1!$D$2:$D$14</c:f>
              <c:numCache>
                <c:formatCode>General</c:formatCode>
                <c:ptCount val="13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7692885"/>
        <c:axId val="59129007"/>
      </c:lineChart>
      <c:catAx>
        <c:axId val="1876928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129007"/>
        <c:crosses val="autoZero"/>
        <c:auto val="1"/>
        <c:lblAlgn val="ctr"/>
        <c:lblOffset val="100"/>
        <c:noMultiLvlLbl val="0"/>
      </c:catAx>
      <c:valAx>
        <c:axId val="5912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6928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432897372451985"/>
          <c:y val="0.40623587889742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c164f7-7fce-4090-9d6b-8364959606d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549910</xdr:colOff>
      <xdr:row>28</xdr:row>
      <xdr:rowOff>92710</xdr:rowOff>
    </xdr:from>
    <xdr:to>
      <xdr:col>10</xdr:col>
      <xdr:colOff>470535</xdr:colOff>
      <xdr:row>35</xdr:row>
      <xdr:rowOff>138430</xdr:rowOff>
    </xdr:to>
    <xdr:graphicFrame>
      <xdr:nvGraphicFramePr>
        <xdr:cNvPr id="2" name="图表 1"/>
        <xdr:cNvGraphicFramePr/>
      </xdr:nvGraphicFramePr>
      <xdr:xfrm>
        <a:off x="7717155" y="5636260"/>
        <a:ext cx="5368925" cy="1423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269875</xdr:colOff>
      <xdr:row>36</xdr:row>
      <xdr:rowOff>167005</xdr:rowOff>
    </xdr:from>
    <xdr:to>
      <xdr:col>10</xdr:col>
      <xdr:colOff>628015</xdr:colOff>
      <xdr:row>45</xdr:row>
      <xdr:rowOff>7620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45170" y="7285355"/>
          <a:ext cx="4898390" cy="1612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550545</xdr:colOff>
      <xdr:row>1</xdr:row>
      <xdr:rowOff>144780</xdr:rowOff>
    </xdr:from>
    <xdr:to>
      <xdr:col>14</xdr:col>
      <xdr:colOff>803275</xdr:colOff>
      <xdr:row>13</xdr:row>
      <xdr:rowOff>144780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166090" y="373380"/>
          <a:ext cx="3884930" cy="2362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okenterminal.com/explorer/studio/dashboards/cf4f2010-c412-4bc7-b5ab-76dd866828e6?expandChartId=09392b43-ecb7-4a08-95b1-ea5afa9872da" TargetMode="External"/><Relationship Id="rId2" Type="http://schemas.openxmlformats.org/officeDocument/2006/relationships/hyperlink" Target="https://tokenterminal.com/explorer/studio/dashboards/11974884-5d10-4e90-91be-ffc77ddb105b?expandChartId=ae1ff544-97eb-42de-8504-a41c87ba04d9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6"/>
  <sheetViews>
    <sheetView tabSelected="1" zoomScale="70" zoomScaleNormal="70" topLeftCell="A30" workbookViewId="0">
      <selection activeCell="A68" sqref="A68:D68"/>
    </sheetView>
  </sheetViews>
  <sheetFormatPr defaultColWidth="11" defaultRowHeight="15.5"/>
  <cols>
    <col min="1" max="1" width="35.8307692307692" customWidth="1"/>
    <col min="2" max="2" width="15.5" customWidth="1"/>
    <col min="3" max="3" width="16.3307692307692" customWidth="1"/>
    <col min="4" max="4" width="19.1615384615385" customWidth="1"/>
  </cols>
  <sheetData>
    <row r="1" ht="18" customHeight="1" spans="1:5">
      <c r="A1" s="1" t="s">
        <v>0</v>
      </c>
      <c r="B1" s="2"/>
      <c r="C1" s="2"/>
      <c r="D1" s="2"/>
      <c r="E1" s="3"/>
    </row>
    <row r="2" spans="1:8">
      <c r="A2" s="4"/>
      <c r="B2" s="4" t="s">
        <v>1</v>
      </c>
      <c r="C2" s="4" t="s">
        <v>2</v>
      </c>
      <c r="D2" s="4" t="s">
        <v>3</v>
      </c>
      <c r="E2" s="5" t="s">
        <v>4</v>
      </c>
      <c r="F2" s="6"/>
      <c r="G2" s="6"/>
      <c r="H2" s="6"/>
    </row>
    <row r="3" spans="1:5">
      <c r="A3" s="7" t="s">
        <v>5</v>
      </c>
      <c r="B3" s="8">
        <f>(62.8+103+142)/3*12</f>
        <v>1231.2</v>
      </c>
      <c r="C3" s="8">
        <f>865*2</f>
        <v>1730</v>
      </c>
      <c r="D3" s="8">
        <f>(217+191+150)/3*12</f>
        <v>2232</v>
      </c>
      <c r="E3" s="3"/>
    </row>
    <row r="4" spans="1:11">
      <c r="A4" s="4" t="s">
        <v>6</v>
      </c>
      <c r="B4" s="4">
        <f>1.96/3*12</f>
        <v>7.84</v>
      </c>
      <c r="C4" s="4">
        <f>15.67*2</f>
        <v>31.34</v>
      </c>
      <c r="D4" s="8">
        <f>13.71/3*12</f>
        <v>54.84</v>
      </c>
      <c r="E4" s="9" t="s">
        <v>7</v>
      </c>
      <c r="F4" s="9"/>
      <c r="G4" s="9"/>
      <c r="H4" s="9"/>
      <c r="I4" s="9"/>
      <c r="J4" s="9"/>
      <c r="K4" s="9"/>
    </row>
    <row r="5" spans="1:11">
      <c r="A5" s="10" t="s">
        <v>8</v>
      </c>
      <c r="B5" s="8">
        <f>(35.8+34.9+34.7)/3*12</f>
        <v>421.6</v>
      </c>
      <c r="C5" s="8">
        <f>219.6*2</f>
        <v>439.2</v>
      </c>
      <c r="D5" s="8">
        <f>(37.9+39.6+36.7)/3*12</f>
        <v>456.8</v>
      </c>
      <c r="E5" s="9"/>
      <c r="F5" s="9"/>
      <c r="G5" s="9"/>
      <c r="H5" s="9"/>
      <c r="I5" s="9"/>
      <c r="J5" s="9"/>
      <c r="K5" s="9"/>
    </row>
    <row r="6" spans="1:11">
      <c r="A6" s="10" t="s">
        <v>9</v>
      </c>
      <c r="B6" s="11">
        <f>(B3-B4)/B5</f>
        <v>2.90170777988615</v>
      </c>
      <c r="C6" s="11">
        <f>(C3-C4)/C5</f>
        <v>3.86762295081967</v>
      </c>
      <c r="D6" s="11">
        <f>(D3-D4)/D5</f>
        <v>4.76611208406305</v>
      </c>
      <c r="E6" s="9"/>
      <c r="F6" s="9"/>
      <c r="G6" s="9"/>
      <c r="H6" s="9"/>
      <c r="I6" s="9"/>
      <c r="J6" s="9"/>
      <c r="K6" s="9"/>
    </row>
    <row r="7" spans="1:11">
      <c r="A7" s="12"/>
      <c r="B7" s="13"/>
      <c r="C7" s="13"/>
      <c r="D7" s="13"/>
      <c r="E7" s="9"/>
      <c r="F7" s="9"/>
      <c r="G7" s="9"/>
      <c r="H7" s="9"/>
      <c r="I7" s="9"/>
      <c r="J7" s="9"/>
      <c r="K7" s="9"/>
    </row>
    <row r="8" spans="1:9">
      <c r="A8" s="14" t="s">
        <v>10</v>
      </c>
      <c r="B8" s="15"/>
      <c r="C8" s="15"/>
      <c r="D8" s="16"/>
      <c r="E8" s="17" t="s">
        <v>11</v>
      </c>
      <c r="F8" s="18"/>
      <c r="G8" s="18"/>
      <c r="H8" s="18"/>
      <c r="I8" s="18"/>
    </row>
    <row r="9" spans="1:5">
      <c r="A9" s="7"/>
      <c r="B9" s="4" t="s">
        <v>12</v>
      </c>
      <c r="C9" s="4" t="s">
        <v>13</v>
      </c>
      <c r="D9" s="4" t="s">
        <v>14</v>
      </c>
      <c r="E9" s="19"/>
    </row>
    <row r="10" spans="1:5">
      <c r="A10" s="10" t="s">
        <v>15</v>
      </c>
      <c r="B10" s="20">
        <f>B6</f>
        <v>2.90170777988615</v>
      </c>
      <c r="C10" s="20">
        <f>C6</f>
        <v>3.86762295081967</v>
      </c>
      <c r="D10" s="20">
        <f>D6</f>
        <v>4.76611208406305</v>
      </c>
      <c r="E10" s="3"/>
    </row>
    <row r="11" spans="1:5">
      <c r="A11" s="21" t="s">
        <v>16</v>
      </c>
      <c r="B11" s="22">
        <v>0.33</v>
      </c>
      <c r="C11" s="23"/>
      <c r="D11" s="24"/>
      <c r="E11" s="3"/>
    </row>
    <row r="12" spans="1:5">
      <c r="A12" s="10" t="s">
        <v>17</v>
      </c>
      <c r="B12" s="20">
        <f>B10*B11</f>
        <v>0.95756356736243</v>
      </c>
      <c r="C12" s="20">
        <f>C10*B11</f>
        <v>1.27631557377049</v>
      </c>
      <c r="D12" s="20">
        <f>D10*B11</f>
        <v>1.57281698774081</v>
      </c>
      <c r="E12" s="3"/>
    </row>
    <row r="13" spans="1:5">
      <c r="A13" s="4"/>
      <c r="B13" s="20"/>
      <c r="C13" s="20"/>
      <c r="D13" s="20"/>
      <c r="E13" s="3"/>
    </row>
    <row r="14" spans="1:5">
      <c r="A14" s="10" t="s">
        <v>8</v>
      </c>
      <c r="B14" s="25">
        <f>B5</f>
        <v>421.6</v>
      </c>
      <c r="C14" s="25">
        <f>C5</f>
        <v>439.2</v>
      </c>
      <c r="D14" s="25">
        <f>D5</f>
        <v>456.8</v>
      </c>
      <c r="E14" s="3"/>
    </row>
    <row r="15" spans="1:12">
      <c r="A15" s="21" t="s">
        <v>18</v>
      </c>
      <c r="B15" s="26">
        <v>2</v>
      </c>
      <c r="C15" s="26">
        <v>4</v>
      </c>
      <c r="D15" s="26">
        <v>6</v>
      </c>
      <c r="E15" s="3"/>
      <c r="L15" s="63" t="s">
        <v>19</v>
      </c>
    </row>
    <row r="16" spans="1:5">
      <c r="A16" s="10" t="s">
        <v>20</v>
      </c>
      <c r="B16" s="25">
        <f>B14*B15</f>
        <v>843.2</v>
      </c>
      <c r="C16" s="25">
        <f>C14*C15</f>
        <v>1756.8</v>
      </c>
      <c r="D16" s="25">
        <f>D15*D14</f>
        <v>2740.8</v>
      </c>
      <c r="E16" s="3"/>
    </row>
    <row r="17" spans="1:5">
      <c r="A17" s="4"/>
      <c r="B17" s="20"/>
      <c r="C17" s="20"/>
      <c r="D17" s="20"/>
      <c r="E17" s="3"/>
    </row>
    <row r="18" spans="1:12">
      <c r="A18" s="4" t="s">
        <v>21</v>
      </c>
      <c r="B18" s="20">
        <f>B16*B12</f>
        <v>807.417600000001</v>
      </c>
      <c r="C18" s="20">
        <f>C16*C12</f>
        <v>2242.2312</v>
      </c>
      <c r="D18" s="20">
        <f>D16*D12</f>
        <v>4310.77680000001</v>
      </c>
      <c r="E18" s="3"/>
      <c r="L18" s="64" t="s">
        <v>22</v>
      </c>
    </row>
    <row r="19" spans="1:5">
      <c r="A19" s="14" t="s">
        <v>23</v>
      </c>
      <c r="B19" s="15"/>
      <c r="C19" s="15"/>
      <c r="D19" s="16"/>
      <c r="E19" s="3"/>
    </row>
    <row r="20" spans="2:11">
      <c r="B20" s="4" t="s">
        <v>12</v>
      </c>
      <c r="C20" s="4" t="s">
        <v>13</v>
      </c>
      <c r="D20" s="4" t="s">
        <v>14</v>
      </c>
      <c r="E20" s="17" t="s">
        <v>24</v>
      </c>
      <c r="F20" s="17"/>
      <c r="G20" s="17"/>
      <c r="H20" s="17"/>
      <c r="I20" s="17"/>
      <c r="J20" s="17"/>
      <c r="K20" s="17"/>
    </row>
    <row r="21" spans="1:17">
      <c r="A21" s="27" t="s">
        <v>15</v>
      </c>
      <c r="B21" s="20">
        <f>(6.49+3.54+5.97)/(335.4+267.1+298.6)</f>
        <v>0.0177560759072245</v>
      </c>
      <c r="C21" s="28">
        <f>(0.02+0.04)/2</f>
        <v>0.03</v>
      </c>
      <c r="D21" s="20">
        <f>(18.51+19.73+13.73)/(467.2+412.7+373.1)</f>
        <v>0.0414764565043895</v>
      </c>
      <c r="E21" s="29" t="s">
        <v>25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30" t="s">
        <v>16</v>
      </c>
      <c r="B22" s="31">
        <v>0.67</v>
      </c>
      <c r="C22" s="32"/>
      <c r="D22" s="33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5">
      <c r="A23" s="27" t="s">
        <v>17</v>
      </c>
      <c r="B23" s="34">
        <f>B21*B22</f>
        <v>0.0118965708578404</v>
      </c>
      <c r="C23" s="34">
        <f>C21*B22</f>
        <v>0.0201</v>
      </c>
      <c r="D23" s="34">
        <f>D21*B22</f>
        <v>0.0277892258579409</v>
      </c>
      <c r="E23" s="3"/>
    </row>
    <row r="24" spans="1:9">
      <c r="A24" s="35" t="s">
        <v>8</v>
      </c>
      <c r="B24" s="4">
        <f>(335.4+267.5+298.6)/3*12</f>
        <v>3606</v>
      </c>
      <c r="C24" s="36">
        <f>2154.5*2</f>
        <v>4309</v>
      </c>
      <c r="D24" s="4">
        <f>(467.2+412.7+373.1)/3*12</f>
        <v>5012</v>
      </c>
      <c r="E24" s="37" t="s">
        <v>26</v>
      </c>
      <c r="F24" s="37"/>
      <c r="G24" s="37"/>
      <c r="H24" s="37"/>
      <c r="I24" s="37"/>
    </row>
    <row r="25" spans="1:4">
      <c r="A25" s="30" t="s">
        <v>18</v>
      </c>
      <c r="B25" s="26">
        <v>2</v>
      </c>
      <c r="C25" s="26">
        <v>5</v>
      </c>
      <c r="D25" s="26">
        <v>10</v>
      </c>
    </row>
    <row r="26" spans="1:4">
      <c r="A26" s="27" t="s">
        <v>20</v>
      </c>
      <c r="B26" s="38">
        <f>B24*B25</f>
        <v>7212</v>
      </c>
      <c r="C26" s="38">
        <f>C24*C25</f>
        <v>21545</v>
      </c>
      <c r="D26" s="38">
        <f>D24*D25</f>
        <v>50120</v>
      </c>
    </row>
    <row r="27" spans="1:4">
      <c r="A27" s="39" t="s">
        <v>27</v>
      </c>
      <c r="B27" s="40">
        <f>0.1*0.7+0.9*0.05</f>
        <v>0.115</v>
      </c>
      <c r="C27" s="40">
        <f>0.25*0.7+0.75*0.05</f>
        <v>0.2125</v>
      </c>
      <c r="D27" s="40">
        <f>0.7*0.5+0.05*0.5</f>
        <v>0.375</v>
      </c>
    </row>
    <row r="28" spans="1:4">
      <c r="A28" s="27" t="s">
        <v>28</v>
      </c>
      <c r="B28" s="20">
        <f>B27*B26*B23</f>
        <v>9.86677793807567</v>
      </c>
      <c r="C28" s="20">
        <f>C27*C26*C23</f>
        <v>92.02408125</v>
      </c>
      <c r="D28" s="20">
        <f>D27*D26*D23</f>
        <v>522.298499999999</v>
      </c>
    </row>
    <row r="29" spans="1:6">
      <c r="A29" s="41" t="s">
        <v>29</v>
      </c>
      <c r="B29" s="15"/>
      <c r="C29" s="15"/>
      <c r="D29" s="16"/>
      <c r="F29" s="42" t="s">
        <v>30</v>
      </c>
    </row>
    <row r="30" spans="1:4">
      <c r="A30" s="43"/>
      <c r="B30" s="4" t="s">
        <v>12</v>
      </c>
      <c r="C30" s="4" t="s">
        <v>13</v>
      </c>
      <c r="D30" s="4" t="s">
        <v>14</v>
      </c>
    </row>
    <row r="31" spans="1:4">
      <c r="A31" s="27" t="s">
        <v>31</v>
      </c>
      <c r="B31" s="20">
        <f>B28+B18</f>
        <v>817.284377938077</v>
      </c>
      <c r="C31" s="20">
        <f>C28+C18</f>
        <v>2334.25528125</v>
      </c>
      <c r="D31" s="20">
        <f>D28+D18</f>
        <v>4833.07530000001</v>
      </c>
    </row>
    <row r="32" spans="1:4">
      <c r="A32" s="39" t="s">
        <v>32</v>
      </c>
      <c r="B32" s="44">
        <v>500</v>
      </c>
      <c r="C32" s="44">
        <v>300</v>
      </c>
      <c r="D32" s="44">
        <v>200</v>
      </c>
    </row>
    <row r="33" spans="1:4">
      <c r="A33" s="27" t="s">
        <v>33</v>
      </c>
      <c r="B33" s="45">
        <f>B31*B32/100</f>
        <v>4086.42188969038</v>
      </c>
      <c r="C33" s="45">
        <f>C32*C31/100</f>
        <v>7002.76584374999</v>
      </c>
      <c r="D33" s="45">
        <f>D32*D31/100</f>
        <v>9666.15060000002</v>
      </c>
    </row>
    <row r="34" spans="1:4">
      <c r="A34" s="46" t="s">
        <v>34</v>
      </c>
      <c r="B34" s="47">
        <v>1.2</v>
      </c>
      <c r="C34" s="48"/>
      <c r="D34" s="49"/>
    </row>
    <row r="35" spans="1:4">
      <c r="A35" s="46" t="s">
        <v>35</v>
      </c>
      <c r="B35" s="45">
        <f>B33/B34</f>
        <v>3405.35157474199</v>
      </c>
      <c r="C35" s="45">
        <f>C33/B34</f>
        <v>5835.63820312499</v>
      </c>
      <c r="D35" s="45">
        <f>D33/B34</f>
        <v>8055.12550000002</v>
      </c>
    </row>
    <row r="37" spans="1:4">
      <c r="A37" s="50" t="s">
        <v>36</v>
      </c>
      <c r="B37" s="50"/>
      <c r="C37" s="50"/>
      <c r="D37" s="50"/>
    </row>
    <row r="38" spans="1:4">
      <c r="A38" s="50"/>
      <c r="B38" s="50"/>
      <c r="C38" s="50"/>
      <c r="D38" s="50"/>
    </row>
    <row r="39" spans="1:4">
      <c r="A39" s="50"/>
      <c r="B39" s="50"/>
      <c r="C39" s="50"/>
      <c r="D39" s="50"/>
    </row>
    <row r="40" spans="1:4">
      <c r="A40" s="50"/>
      <c r="B40" s="50"/>
      <c r="C40" s="50"/>
      <c r="D40" s="50"/>
    </row>
    <row r="41" spans="1:4">
      <c r="A41" s="50"/>
      <c r="B41" s="50"/>
      <c r="C41" s="50"/>
      <c r="D41" s="50"/>
    </row>
    <row r="42" spans="1:4">
      <c r="A42" s="50"/>
      <c r="B42" s="50"/>
      <c r="C42" s="50"/>
      <c r="D42" s="50"/>
    </row>
    <row r="43" spans="1:4">
      <c r="A43" s="50"/>
      <c r="B43" s="50"/>
      <c r="C43" s="50"/>
      <c r="D43" s="50"/>
    </row>
    <row r="44" spans="1:4">
      <c r="A44" s="50"/>
      <c r="B44" s="50"/>
      <c r="C44" s="50"/>
      <c r="D44" s="50"/>
    </row>
    <row r="45" spans="1:4">
      <c r="A45" s="50"/>
      <c r="B45" s="50"/>
      <c r="C45" s="50"/>
      <c r="D45" s="50"/>
    </row>
    <row r="46" spans="1:4">
      <c r="A46" s="50"/>
      <c r="B46" s="50"/>
      <c r="C46" s="50"/>
      <c r="D46" s="50"/>
    </row>
    <row r="47" spans="1:4">
      <c r="A47" s="50"/>
      <c r="B47" s="50"/>
      <c r="C47" s="50"/>
      <c r="D47" s="50"/>
    </row>
    <row r="48" spans="1:4">
      <c r="A48" s="50"/>
      <c r="B48" s="50"/>
      <c r="C48" s="50"/>
      <c r="D48" s="50"/>
    </row>
    <row r="49" spans="1:4">
      <c r="A49" s="50"/>
      <c r="B49" s="50"/>
      <c r="C49" s="50"/>
      <c r="D49" s="50"/>
    </row>
    <row r="50" spans="1:4">
      <c r="A50" s="50"/>
      <c r="B50" s="50"/>
      <c r="C50" s="50"/>
      <c r="D50" s="50"/>
    </row>
    <row r="52" spans="1:4">
      <c r="A52" s="51" t="s">
        <v>37</v>
      </c>
      <c r="B52" s="51"/>
      <c r="C52" s="51"/>
      <c r="D52" s="51"/>
    </row>
    <row r="53" spans="1:7">
      <c r="A53" s="52" t="s">
        <v>38</v>
      </c>
      <c r="B53" s="53" t="s">
        <v>1</v>
      </c>
      <c r="C53" s="53" t="s">
        <v>2</v>
      </c>
      <c r="D53" s="53" t="s">
        <v>3</v>
      </c>
      <c r="E53" s="54" t="s">
        <v>39</v>
      </c>
      <c r="F53" s="54"/>
      <c r="G53" s="54"/>
    </row>
    <row r="54" spans="1:7">
      <c r="A54" s="52" t="s">
        <v>40</v>
      </c>
      <c r="B54" s="53">
        <f>100*4</f>
        <v>400</v>
      </c>
      <c r="C54" s="53">
        <f>150*4</f>
        <v>600</v>
      </c>
      <c r="D54" s="53">
        <f>392.5*4</f>
        <v>1570</v>
      </c>
      <c r="E54" s="54" t="s">
        <v>41</v>
      </c>
      <c r="F54" s="54"/>
      <c r="G54" s="54"/>
    </row>
    <row r="55" spans="1:7">
      <c r="A55" s="52" t="s">
        <v>42</v>
      </c>
      <c r="B55" s="53">
        <v>20000</v>
      </c>
      <c r="C55" s="53">
        <v>25000</v>
      </c>
      <c r="D55" s="53">
        <v>30000</v>
      </c>
      <c r="E55" s="54" t="s">
        <v>43</v>
      </c>
      <c r="F55" s="54"/>
      <c r="G55" s="54"/>
    </row>
    <row r="56" spans="1:4">
      <c r="A56" s="52" t="s">
        <v>44</v>
      </c>
      <c r="B56" s="55">
        <f t="shared" ref="B56:D56" si="0">B54/B55</f>
        <v>0.02</v>
      </c>
      <c r="C56" s="55">
        <f t="shared" si="0"/>
        <v>0.024</v>
      </c>
      <c r="D56" s="55">
        <f t="shared" si="0"/>
        <v>0.0523333333333333</v>
      </c>
    </row>
    <row r="57" spans="1:4">
      <c r="A57" s="56"/>
      <c r="B57" s="56"/>
      <c r="C57" s="56"/>
      <c r="D57" s="56"/>
    </row>
    <row r="58" spans="1:12">
      <c r="A58" s="57" t="s">
        <v>45</v>
      </c>
      <c r="B58" s="57"/>
      <c r="C58" s="57"/>
      <c r="D58" s="57"/>
      <c r="F58" s="58" t="s">
        <v>46</v>
      </c>
      <c r="G58" s="59"/>
      <c r="H58" s="59"/>
      <c r="I58" s="59"/>
      <c r="J58" s="59"/>
      <c r="K58" s="59"/>
      <c r="L58" s="65"/>
    </row>
    <row r="59" spans="1:12">
      <c r="A59" s="52" t="s">
        <v>38</v>
      </c>
      <c r="B59" s="53" t="s">
        <v>12</v>
      </c>
      <c r="C59" s="53" t="s">
        <v>13</v>
      </c>
      <c r="D59" s="53" t="s">
        <v>14</v>
      </c>
      <c r="F59" s="60" t="s">
        <v>47</v>
      </c>
      <c r="G59" s="60">
        <v>2025</v>
      </c>
      <c r="H59" s="60">
        <v>2026</v>
      </c>
      <c r="I59" s="60">
        <v>2027</v>
      </c>
      <c r="J59" s="60">
        <v>2028</v>
      </c>
      <c r="K59" s="60">
        <v>2029</v>
      </c>
      <c r="L59" s="60">
        <v>2030</v>
      </c>
    </row>
    <row r="60" spans="1:12">
      <c r="A60" s="52" t="s">
        <v>48</v>
      </c>
      <c r="B60" s="55">
        <f t="shared" ref="B60:D60" si="1">B56</f>
        <v>0.02</v>
      </c>
      <c r="C60" s="55">
        <f t="shared" si="1"/>
        <v>0.024</v>
      </c>
      <c r="D60" s="55">
        <f t="shared" si="1"/>
        <v>0.0523333333333333</v>
      </c>
      <c r="F60" s="60" t="s">
        <v>49</v>
      </c>
      <c r="G60" s="60">
        <v>4</v>
      </c>
      <c r="H60" s="60">
        <v>5</v>
      </c>
      <c r="I60" s="60">
        <v>6</v>
      </c>
      <c r="J60" s="60">
        <v>7</v>
      </c>
      <c r="K60" s="60">
        <v>8</v>
      </c>
      <c r="L60" s="60">
        <v>9</v>
      </c>
    </row>
    <row r="61" ht="30.5" spans="1:12">
      <c r="A61" s="52" t="s">
        <v>50</v>
      </c>
      <c r="B61" s="61">
        <v>0.8</v>
      </c>
      <c r="C61" s="61">
        <v>1</v>
      </c>
      <c r="D61" s="61">
        <v>1.2</v>
      </c>
      <c r="F61" s="60" t="s">
        <v>51</v>
      </c>
      <c r="G61" s="60">
        <v>4.18</v>
      </c>
      <c r="H61" s="60">
        <v>3.55</v>
      </c>
      <c r="I61" s="60">
        <v>3.02</v>
      </c>
      <c r="J61" s="60">
        <v>2.57</v>
      </c>
      <c r="K61" s="60">
        <v>2.18</v>
      </c>
      <c r="L61" s="60">
        <v>1.85</v>
      </c>
    </row>
    <row r="62" spans="1:12">
      <c r="A62" s="52" t="s">
        <v>52</v>
      </c>
      <c r="B62" s="55">
        <f t="shared" ref="B62:D62" si="2">B60*B61</f>
        <v>0.016</v>
      </c>
      <c r="C62" s="55">
        <f t="shared" si="2"/>
        <v>0.024</v>
      </c>
      <c r="D62" s="55">
        <f t="shared" si="2"/>
        <v>0.0628</v>
      </c>
      <c r="F62" s="60" t="s">
        <v>53</v>
      </c>
      <c r="G62" s="60">
        <f t="shared" ref="G62:L62" si="3">G61/100+1</f>
        <v>1.0418</v>
      </c>
      <c r="H62" s="60">
        <f t="shared" si="3"/>
        <v>1.0355</v>
      </c>
      <c r="I62" s="60">
        <f t="shared" si="3"/>
        <v>1.0302</v>
      </c>
      <c r="J62" s="60">
        <f t="shared" si="3"/>
        <v>1.0257</v>
      </c>
      <c r="K62" s="60">
        <f t="shared" si="3"/>
        <v>1.0218</v>
      </c>
      <c r="L62" s="60">
        <f t="shared" si="3"/>
        <v>1.0185</v>
      </c>
    </row>
    <row r="63" spans="1:12">
      <c r="A63" s="52" t="s">
        <v>42</v>
      </c>
      <c r="B63" s="53">
        <f t="shared" ref="B63:D63" si="4">B55</f>
        <v>20000</v>
      </c>
      <c r="C63" s="53">
        <f t="shared" si="4"/>
        <v>25000</v>
      </c>
      <c r="D63" s="53">
        <f t="shared" si="4"/>
        <v>30000</v>
      </c>
      <c r="F63" s="60" t="s">
        <v>54</v>
      </c>
      <c r="G63" s="62">
        <f>G62</f>
        <v>1.0418</v>
      </c>
      <c r="H63" s="62">
        <f t="shared" ref="H63:L63" si="5">G63*H62</f>
        <v>1.0787839</v>
      </c>
      <c r="I63" s="62">
        <f t="shared" si="5"/>
        <v>1.11136317378</v>
      </c>
      <c r="J63" s="62">
        <f t="shared" si="5"/>
        <v>1.13992520734615</v>
      </c>
      <c r="K63" s="62">
        <f t="shared" si="5"/>
        <v>1.16477557686629</v>
      </c>
      <c r="L63" s="62">
        <f t="shared" si="5"/>
        <v>1.18632392503832</v>
      </c>
    </row>
    <row r="64" ht="30.5" spans="1:12">
      <c r="A64" s="52" t="s">
        <v>55</v>
      </c>
      <c r="B64" s="61">
        <v>2</v>
      </c>
      <c r="C64" s="61">
        <v>4</v>
      </c>
      <c r="D64" s="61">
        <v>6</v>
      </c>
      <c r="F64" s="60" t="s">
        <v>56</v>
      </c>
      <c r="G64" s="62">
        <v>5.77</v>
      </c>
      <c r="H64" s="62">
        <f t="shared" ref="H64:L64" si="6">H66*H63</f>
        <v>0</v>
      </c>
      <c r="I64" s="62">
        <f t="shared" si="6"/>
        <v>0</v>
      </c>
      <c r="J64" s="62">
        <f t="shared" si="6"/>
        <v>0</v>
      </c>
      <c r="K64" s="62">
        <f t="shared" si="6"/>
        <v>0</v>
      </c>
      <c r="L64" s="62">
        <f t="shared" si="6"/>
        <v>0</v>
      </c>
    </row>
    <row r="65" spans="1:4">
      <c r="A65" s="52" t="s">
        <v>57</v>
      </c>
      <c r="B65" s="53">
        <f t="shared" ref="B65:D65" si="7">B63*B64</f>
        <v>40000</v>
      </c>
      <c r="C65" s="53">
        <f t="shared" si="7"/>
        <v>100000</v>
      </c>
      <c r="D65" s="53">
        <f t="shared" si="7"/>
        <v>180000</v>
      </c>
    </row>
    <row r="66" spans="1:4">
      <c r="A66" s="52" t="s">
        <v>58</v>
      </c>
      <c r="B66" s="53">
        <f t="shared" ref="B66:D66" si="8">B62*B65</f>
        <v>640</v>
      </c>
      <c r="C66" s="53">
        <f t="shared" si="8"/>
        <v>2400</v>
      </c>
      <c r="D66" s="53">
        <f t="shared" si="8"/>
        <v>11304</v>
      </c>
    </row>
    <row r="67" spans="1:4">
      <c r="A67" s="56"/>
      <c r="B67" s="56"/>
      <c r="C67" s="56"/>
      <c r="D67" s="56"/>
    </row>
    <row r="68" spans="1:4">
      <c r="A68" s="66" t="s">
        <v>59</v>
      </c>
      <c r="B68" s="57"/>
      <c r="C68" s="57"/>
      <c r="D68" s="57"/>
    </row>
    <row r="69" spans="1:4">
      <c r="A69" s="52" t="s">
        <v>38</v>
      </c>
      <c r="B69" s="53" t="s">
        <v>12</v>
      </c>
      <c r="C69" s="53" t="s">
        <v>13</v>
      </c>
      <c r="D69" s="53" t="s">
        <v>14</v>
      </c>
    </row>
    <row r="70" spans="1:4">
      <c r="A70" s="52" t="s">
        <v>31</v>
      </c>
      <c r="B70" s="53">
        <f t="shared" ref="B70:D70" si="9">B66</f>
        <v>640</v>
      </c>
      <c r="C70" s="53">
        <f t="shared" si="9"/>
        <v>2400</v>
      </c>
      <c r="D70" s="53">
        <f t="shared" si="9"/>
        <v>11304</v>
      </c>
    </row>
    <row r="71" spans="1:4">
      <c r="A71" s="52" t="s">
        <v>32</v>
      </c>
      <c r="B71" s="53">
        <v>200</v>
      </c>
      <c r="C71" s="53">
        <v>100</v>
      </c>
      <c r="D71" s="53">
        <v>50</v>
      </c>
    </row>
    <row r="72" spans="1:4">
      <c r="A72" s="52" t="s">
        <v>33</v>
      </c>
      <c r="B72" s="53">
        <f t="shared" ref="B72:D72" si="10">B70*B71/100</f>
        <v>1280</v>
      </c>
      <c r="C72" s="53">
        <f t="shared" si="10"/>
        <v>2400</v>
      </c>
      <c r="D72" s="53">
        <f t="shared" si="10"/>
        <v>5652</v>
      </c>
    </row>
    <row r="73" spans="1:4">
      <c r="A73" s="52" t="s">
        <v>60</v>
      </c>
      <c r="B73" s="53">
        <v>6.58</v>
      </c>
      <c r="C73" s="53">
        <v>6.58</v>
      </c>
      <c r="D73" s="53">
        <v>6.58</v>
      </c>
    </row>
    <row r="74" spans="1:4">
      <c r="A74" s="52" t="s">
        <v>61</v>
      </c>
      <c r="B74" s="67">
        <f t="shared" ref="B74:D74" si="11">B72/B73</f>
        <v>194.528875379939</v>
      </c>
      <c r="C74" s="67">
        <f t="shared" si="11"/>
        <v>364.741641337386</v>
      </c>
      <c r="D74" s="67">
        <f t="shared" si="11"/>
        <v>858.966565349544</v>
      </c>
    </row>
    <row r="75" spans="1:4">
      <c r="A75" s="52" t="s">
        <v>62</v>
      </c>
      <c r="B75" s="53">
        <v>6.85</v>
      </c>
      <c r="C75" s="53">
        <v>6.85</v>
      </c>
      <c r="D75" s="53">
        <v>6.85</v>
      </c>
    </row>
    <row r="76" spans="1:4">
      <c r="A76" s="52" t="s">
        <v>61</v>
      </c>
      <c r="B76" s="67">
        <f t="shared" ref="B76:D76" si="12">B72/B75</f>
        <v>186.861313868613</v>
      </c>
      <c r="C76" s="67">
        <f t="shared" si="12"/>
        <v>350.36496350365</v>
      </c>
      <c r="D76" s="67">
        <f t="shared" si="12"/>
        <v>825.109489051095</v>
      </c>
    </row>
  </sheetData>
  <sheetProtection formatCells="0" formatColumns="0" formatRows="0" insertRows="0" insertColumns="0" insertHyperlinks="0" deleteColumns="0" deleteRows="0" sort="0" autoFilter="0" pivotTables="0"/>
  <mergeCells count="20">
    <mergeCell ref="A1:D1"/>
    <mergeCell ref="E2:H2"/>
    <mergeCell ref="A8:D8"/>
    <mergeCell ref="E8:I8"/>
    <mergeCell ref="B11:D11"/>
    <mergeCell ref="A19:D19"/>
    <mergeCell ref="E20:K20"/>
    <mergeCell ref="B22:D22"/>
    <mergeCell ref="A29:D29"/>
    <mergeCell ref="B34:D34"/>
    <mergeCell ref="A52:D52"/>
    <mergeCell ref="E53:G53"/>
    <mergeCell ref="E54:G54"/>
    <mergeCell ref="E55:G55"/>
    <mergeCell ref="A58:D58"/>
    <mergeCell ref="F58:L58"/>
    <mergeCell ref="A68:D68"/>
    <mergeCell ref="A37:D50"/>
    <mergeCell ref="E4:K7"/>
    <mergeCell ref="E21:Q22"/>
  </mergeCells>
  <hyperlinks>
    <hyperlink ref="L15" r:id="rId2" display="https://tokenterminal.com/explorer/studio/dashboards/11974884-5d10-4e90-91be-ffc77ddb105b?expandChartId=ae1ff544-97eb-42de-8504-a41c87ba04d9"/>
    <hyperlink ref="L18" r:id="rId3" display="二层收入https://tokenterminal.com/explorer/studio/dashboards/cf4f2010-c412-4bc7-b5ab-76dd866828e6?expandChartId=09392b43-ecb7-4a08-95b1-ea5afa9872da"/>
  </hyperlink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估值计算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海贝</cp:lastModifiedBy>
  <dcterms:created xsi:type="dcterms:W3CDTF">2023-11-15T14:10:00Z</dcterms:created>
  <dcterms:modified xsi:type="dcterms:W3CDTF">2025-06-12T03:26:21Z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C2E29078CECA46979396BFC707F546EA_13</vt:lpwstr>
  </property>
</Properties>
</file>