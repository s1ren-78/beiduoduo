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eam/Documents/.evernote/37717054-business-app.yinxiang.com/external-edits/18472D09-B82C-4265-8287-D0748071ED6D/"/>
    </mc:Choice>
  </mc:AlternateContent>
  <xr:revisionPtr revIDLastSave="0" documentId="13_ncr:1_{FF4303C5-15DC-5544-AA2F-B0EEC45E1BBD}" xr6:coauthVersionLast="47" xr6:coauthVersionMax="47" xr10:uidLastSave="{00000000-0000-0000-0000-000000000000}"/>
  <bookViews>
    <workbookView xWindow="13580" yWindow="1780" windowWidth="19220" windowHeight="12600" activeTab="1" xr2:uid="{4916945E-88D7-EB41-BB6F-DCC8F38ECF13}"/>
  </bookViews>
  <sheets>
    <sheet name="MTU&amp;ARPU" sheetId="2" r:id="rId1"/>
    <sheet name="Coinbase估值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7" i="1"/>
  <c r="L7" i="1" s="1"/>
  <c r="L8" i="1"/>
  <c r="J6" i="1"/>
  <c r="L6" i="1" s="1"/>
  <c r="H21" i="2"/>
  <c r="I21" i="2"/>
  <c r="J21" i="2"/>
  <c r="K21" i="2"/>
  <c r="L21" i="2"/>
  <c r="M21" i="2"/>
  <c r="N21" i="2"/>
  <c r="O21" i="2"/>
  <c r="P21" i="2"/>
  <c r="Q21" i="2"/>
  <c r="G21" i="2"/>
  <c r="Q16" i="2"/>
  <c r="P16" i="2"/>
  <c r="O16" i="2"/>
  <c r="N10" i="2"/>
  <c r="Q9" i="2"/>
  <c r="Q10" i="2" s="1"/>
  <c r="P9" i="2"/>
  <c r="O9" i="2"/>
  <c r="P10" i="2" s="1"/>
  <c r="N9" i="2"/>
  <c r="O10" i="2" s="1"/>
  <c r="M9" i="2"/>
  <c r="Q8" i="2"/>
  <c r="P8" i="2"/>
  <c r="O8" i="2"/>
  <c r="Q6" i="2"/>
  <c r="P6" i="2"/>
  <c r="O6" i="2"/>
  <c r="N6" i="1" l="1"/>
</calcChain>
</file>

<file path=xl/sharedStrings.xml><?xml version="1.0" encoding="utf-8"?>
<sst xmlns="http://schemas.openxmlformats.org/spreadsheetml/2006/main" count="66" uniqueCount="55">
  <si>
    <t>Base</t>
  </si>
  <si>
    <t>Downside</t>
  </si>
  <si>
    <t>Upside</t>
  </si>
  <si>
    <t>MTU</t>
  </si>
  <si>
    <t>Revenue</t>
  </si>
  <si>
    <t>PS</t>
  </si>
  <si>
    <t>Valution</t>
  </si>
  <si>
    <t>Retail %</t>
  </si>
  <si>
    <t>Expecation</t>
  </si>
  <si>
    <t>Probability</t>
  </si>
  <si>
    <t>BTC 6x</t>
  </si>
  <si>
    <t>ETH 10x</t>
  </si>
  <si>
    <t>CB 4x</t>
  </si>
  <si>
    <t xml:space="preserve">  19Q1  </t>
  </si>
  <si>
    <t xml:space="preserve">  19Q2  </t>
  </si>
  <si>
    <t xml:space="preserve">  19Q3  </t>
  </si>
  <si>
    <t xml:space="preserve">  19Q4  </t>
  </si>
  <si>
    <t>20Q1</t>
  </si>
  <si>
    <t>20Q2</t>
  </si>
  <si>
    <t>20Q3</t>
  </si>
  <si>
    <t>20Q4</t>
  </si>
  <si>
    <t>21Q1</t>
  </si>
  <si>
    <t>21Q2</t>
  </si>
  <si>
    <t>21Q3</t>
  </si>
  <si>
    <t>21Q4</t>
  </si>
  <si>
    <t>22Q1</t>
  </si>
  <si>
    <t>22Q2</t>
  </si>
  <si>
    <t>22Q3</t>
  </si>
  <si>
    <t>Retail Revenue（$M）</t>
  </si>
  <si>
    <t>qoq</t>
  </si>
  <si>
    <t>MTU（M）</t>
  </si>
  <si>
    <t>ARPU（$）</t>
  </si>
  <si>
    <t xml:space="preserve">  20Q1  </t>
  </si>
  <si>
    <t xml:space="preserve">  20Q2  </t>
  </si>
  <si>
    <t xml:space="preserve">  20Q3  </t>
  </si>
  <si>
    <t xml:space="preserve">  20Q4  </t>
  </si>
  <si>
    <t xml:space="preserve">  21Q1  </t>
  </si>
  <si>
    <t xml:space="preserve">  21Q2  </t>
  </si>
  <si>
    <t xml:space="preserve">  21Q3  </t>
  </si>
  <si>
    <t xml:space="preserve">  21Q4  </t>
  </si>
  <si>
    <r>
      <rPr>
        <b/>
        <sz val="12"/>
        <color rgb="FF000000"/>
        <rFont val="楷体"/>
        <charset val="134"/>
      </rPr>
      <t>销售及营销费用（</t>
    </r>
    <r>
      <rPr>
        <b/>
        <sz val="12"/>
        <color rgb="FF000000"/>
        <rFont val="Times New Roman"/>
        <family val="1"/>
      </rPr>
      <t>$M</t>
    </r>
    <r>
      <rPr>
        <b/>
        <sz val="12"/>
        <color rgb="FF000000"/>
        <rFont val="楷体"/>
        <charset val="134"/>
      </rPr>
      <t>）</t>
    </r>
  </si>
  <si>
    <r>
      <rPr>
        <sz val="12"/>
        <color rgb="FF000000"/>
        <rFont val="Times New Roman"/>
        <family val="1"/>
      </rPr>
      <t>MTU</t>
    </r>
    <r>
      <rPr>
        <sz val="12"/>
        <color rgb="FF000000"/>
        <rFont val="楷体"/>
        <charset val="134"/>
      </rPr>
      <t>（</t>
    </r>
    <r>
      <rPr>
        <sz val="12"/>
        <color rgb="FF000000"/>
        <rFont val="Times New Roman"/>
        <family val="1"/>
      </rPr>
      <t>M</t>
    </r>
    <r>
      <rPr>
        <sz val="12"/>
        <color rgb="FF000000"/>
        <rFont val="楷体"/>
        <charset val="134"/>
      </rPr>
      <t>）</t>
    </r>
  </si>
  <si>
    <r>
      <rPr>
        <sz val="12"/>
        <color rgb="FF000000"/>
        <rFont val="楷体"/>
        <charset val="134"/>
      </rPr>
      <t>新增</t>
    </r>
    <r>
      <rPr>
        <sz val="12"/>
        <color rgb="FF000000"/>
        <rFont val="Times New Roman"/>
        <family val="1"/>
      </rPr>
      <t>MTU</t>
    </r>
    <r>
      <rPr>
        <sz val="12"/>
        <color rgb="FF000000"/>
        <rFont val="楷体"/>
        <charset val="134"/>
      </rPr>
      <t>（</t>
    </r>
    <r>
      <rPr>
        <sz val="12"/>
        <color rgb="FF000000"/>
        <rFont val="Times New Roman"/>
        <family val="1"/>
      </rPr>
      <t>M</t>
    </r>
    <r>
      <rPr>
        <sz val="12"/>
        <color rgb="FF000000"/>
        <rFont val="楷体"/>
        <charset val="134"/>
      </rPr>
      <t>）</t>
    </r>
  </si>
  <si>
    <r>
      <rPr>
        <b/>
        <sz val="12"/>
        <color rgb="FF000000"/>
        <rFont val="楷体"/>
        <charset val="134"/>
      </rPr>
      <t>新增</t>
    </r>
    <r>
      <rPr>
        <b/>
        <sz val="12"/>
        <color rgb="FF000000"/>
        <rFont val="Times New Roman"/>
        <family val="1"/>
      </rPr>
      <t>1</t>
    </r>
    <r>
      <rPr>
        <b/>
        <sz val="12"/>
        <color rgb="FF000000"/>
        <rFont val="楷体"/>
        <charset val="134"/>
      </rPr>
      <t>个</t>
    </r>
    <r>
      <rPr>
        <b/>
        <sz val="12"/>
        <color rgb="FF000000"/>
        <rFont val="Times New Roman"/>
        <family val="1"/>
      </rPr>
      <t>MTU</t>
    </r>
    <r>
      <rPr>
        <b/>
        <sz val="12"/>
        <color rgb="FF000000"/>
        <rFont val="楷体"/>
        <charset val="134"/>
      </rPr>
      <t>的营销成本（</t>
    </r>
    <r>
      <rPr>
        <b/>
        <sz val="12"/>
        <color rgb="FF000000"/>
        <rFont val="Times New Roman"/>
        <family val="1"/>
      </rPr>
      <t>$</t>
    </r>
    <r>
      <rPr>
        <b/>
        <sz val="12"/>
        <color rgb="FF000000"/>
        <rFont val="楷体"/>
        <charset val="134"/>
      </rPr>
      <t>）</t>
    </r>
  </si>
  <si>
    <t>ATRPU</t>
  </si>
  <si>
    <t>下个周期</t>
  </si>
  <si>
    <t>未来3-5年Coinbase估值</t>
  </si>
  <si>
    <t>月活跃交易用户（百万人）</t>
  </si>
  <si>
    <t>零售用户交易收入占比</t>
  </si>
  <si>
    <t>年收入（亿美金）</t>
  </si>
  <si>
    <t>可能性</t>
  </si>
  <si>
    <t>估值（亿美金）</t>
  </si>
  <si>
    <t>估值期望（亿美金）</t>
  </si>
  <si>
    <t>单交易用户月度贡献收入（美金）</t>
  </si>
  <si>
    <t>假设：模型估算下个周期
1.MTU&amp;ATRPU：鉴于Crypto发展的周期性，MTU的增长非线性，根据历史周期对Coinbase的MTU和ARTPU做保守预测
2收入结构：.考虑到Coinbase的合规优势和对机构用户的吸引力，未来零售用户交易收入占比会进一步下降，假设未来3-5年占比70%-85%
3.PS：按照互联网券商保守估值3x-5x之间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</si>
</sst>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_ * #,##0.0_ ;_ * \-#,##0.0_ ;_ * &quot;-&quot;??_ ;_ @_ "/>
    <numFmt numFmtId="166" formatCode="0_ "/>
    <numFmt numFmtId="167" formatCode="0_);[Red]\(0\)"/>
    <numFmt numFmtId="168" formatCode="0.0_);[Red]\(0.0\)"/>
  </numFmts>
  <fonts count="1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楷体"/>
      <charset val="134"/>
    </font>
    <font>
      <sz val="8"/>
      <name val="Calibri"/>
      <family val="2"/>
      <scheme val="minor"/>
    </font>
    <font>
      <b/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70C0"/>
      <name val="等线"/>
      <family val="4"/>
      <charset val="134"/>
    </font>
    <font>
      <i/>
      <sz val="12"/>
      <color rgb="FF808080"/>
      <name val="等线"/>
      <family val="4"/>
      <charset val="134"/>
    </font>
    <font>
      <sz val="12"/>
      <color rgb="FF808080"/>
      <name val="等线"/>
      <family val="4"/>
      <charset val="134"/>
    </font>
    <font>
      <b/>
      <sz val="12"/>
      <color rgb="FF000000"/>
      <name val="楷体"/>
      <charset val="134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168" fontId="5" fillId="0" borderId="0" xfId="0" applyNumberFormat="1" applyFont="1" applyAlignment="1">
      <alignment horizontal="center"/>
    </xf>
    <xf numFmtId="168" fontId="5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508000</xdr:colOff>
      <xdr:row>21</xdr:row>
      <xdr:rowOff>63500</xdr:rowOff>
    </xdr:from>
    <xdr:to>
      <xdr:col>13</xdr:col>
      <xdr:colOff>759783</xdr:colOff>
      <xdr:row>40</xdr:row>
      <xdr:rowOff>31177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4A0525-35A9-794B-859B-405AA2459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8200" y="4330700"/>
          <a:ext cx="9332283" cy="38284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758768</xdr:colOff>
      <xdr:row>18</xdr:row>
      <xdr:rowOff>172745</xdr:rowOff>
    </xdr:from>
    <xdr:to>
      <xdr:col>10</xdr:col>
      <xdr:colOff>20379</xdr:colOff>
      <xdr:row>38</xdr:row>
      <xdr:rowOff>39753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3CCABE-E573-9B0C-BF81-DEF5BA762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5649" y="3936139"/>
          <a:ext cx="9332283" cy="3828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C01F-F290-D742-A377-B4163FFD07F5}">
  <dimension ref="B4:Q21"/>
  <sheetViews>
    <sheetView zoomScale="66" workbookViewId="0">
      <selection activeCell="K6" sqref="K6"/>
    </sheetView>
  </sheetViews>
  <sheetFormatPr baseColWidth="10" defaultRowHeight="16"/>
  <cols>
    <col min="2" max="2" width="26.83203125" customWidth="1"/>
  </cols>
  <sheetData>
    <row r="4" spans="2:17">
      <c r="B4" s="4"/>
      <c r="C4" s="5" t="s">
        <v>13</v>
      </c>
      <c r="D4" s="5" t="s">
        <v>14</v>
      </c>
      <c r="E4" s="5" t="s">
        <v>15</v>
      </c>
      <c r="F4" s="5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  <c r="L4" s="6" t="s">
        <v>22</v>
      </c>
      <c r="M4" s="6" t="s">
        <v>23</v>
      </c>
      <c r="N4" s="6" t="s">
        <v>24</v>
      </c>
      <c r="O4" s="6" t="s">
        <v>25</v>
      </c>
      <c r="P4" s="6" t="s">
        <v>26</v>
      </c>
      <c r="Q4" s="6" t="s">
        <v>27</v>
      </c>
    </row>
    <row r="5" spans="2:17">
      <c r="B5" s="7" t="s">
        <v>28</v>
      </c>
      <c r="C5" s="8"/>
      <c r="D5" s="8"/>
      <c r="E5" s="8"/>
      <c r="F5" s="8"/>
      <c r="G5" s="9">
        <v>162</v>
      </c>
      <c r="H5" s="9">
        <v>164</v>
      </c>
      <c r="I5" s="9">
        <v>263</v>
      </c>
      <c r="J5" s="9">
        <v>452</v>
      </c>
      <c r="K5" s="9">
        <v>1455</v>
      </c>
      <c r="L5" s="9">
        <v>1828</v>
      </c>
      <c r="M5" s="9">
        <v>1022</v>
      </c>
      <c r="N5" s="8">
        <v>2186</v>
      </c>
      <c r="O5" s="10">
        <v>965.8</v>
      </c>
      <c r="P5" s="10">
        <v>616.20000000000005</v>
      </c>
      <c r="Q5" s="10">
        <v>346.1</v>
      </c>
    </row>
    <row r="6" spans="2:17">
      <c r="B6" s="11" t="s">
        <v>29</v>
      </c>
      <c r="C6" s="8"/>
      <c r="D6" s="8"/>
      <c r="E6" s="8"/>
      <c r="F6" s="8"/>
      <c r="G6" s="12"/>
      <c r="H6" s="13">
        <v>0.01</v>
      </c>
      <c r="I6" s="13">
        <v>0.6</v>
      </c>
      <c r="J6" s="13">
        <v>0.72</v>
      </c>
      <c r="K6" s="13">
        <v>2.2200000000000002</v>
      </c>
      <c r="L6" s="13">
        <v>0.26</v>
      </c>
      <c r="M6" s="13">
        <v>-0.44</v>
      </c>
      <c r="N6" s="13">
        <v>1.1399999999999999</v>
      </c>
      <c r="O6" s="13">
        <f>(O5-N5)/N5</f>
        <v>-0.55818847209515099</v>
      </c>
      <c r="P6" s="13">
        <f>(P5-O5)/O5</f>
        <v>-0.3619797059432594</v>
      </c>
      <c r="Q6" s="13">
        <f>(Q5-P5)/P5</f>
        <v>-0.43833171048360925</v>
      </c>
    </row>
    <row r="7" spans="2:17">
      <c r="B7" s="7" t="s">
        <v>30</v>
      </c>
      <c r="C7" s="8"/>
      <c r="D7" s="8"/>
      <c r="E7" s="8"/>
      <c r="F7" s="8"/>
      <c r="G7" s="14">
        <v>1.3</v>
      </c>
      <c r="H7" s="14">
        <v>1.5</v>
      </c>
      <c r="I7" s="14">
        <v>2.1</v>
      </c>
      <c r="J7" s="14">
        <v>2.8</v>
      </c>
      <c r="K7" s="14">
        <v>6.1</v>
      </c>
      <c r="L7" s="14">
        <v>8.8000000000000007</v>
      </c>
      <c r="M7" s="15">
        <v>7.3</v>
      </c>
      <c r="N7" s="16">
        <v>11.2</v>
      </c>
      <c r="O7" s="14">
        <v>9.1999999999999993</v>
      </c>
      <c r="P7" s="14">
        <v>9</v>
      </c>
      <c r="Q7" s="14">
        <v>8.5</v>
      </c>
    </row>
    <row r="8" spans="2:17">
      <c r="B8" s="11" t="s">
        <v>29</v>
      </c>
      <c r="C8" s="8"/>
      <c r="D8" s="8"/>
      <c r="E8" s="8"/>
      <c r="F8" s="8"/>
      <c r="G8" s="17"/>
      <c r="H8" s="13">
        <v>0.15</v>
      </c>
      <c r="I8" s="13">
        <v>0.4</v>
      </c>
      <c r="J8" s="13">
        <v>0.33</v>
      </c>
      <c r="K8" s="13">
        <v>1.18</v>
      </c>
      <c r="L8" s="13">
        <v>0.44</v>
      </c>
      <c r="M8" s="13">
        <v>-0.16</v>
      </c>
      <c r="N8" s="13">
        <v>0.54</v>
      </c>
      <c r="O8" s="13">
        <f>(O7-N7)/N7</f>
        <v>-0.17857142857142858</v>
      </c>
      <c r="P8" s="13">
        <f>(P7-O7)/O7</f>
        <v>-2.1739130434782532E-2</v>
      </c>
      <c r="Q8" s="13">
        <f>(Q7-P7)/P7</f>
        <v>-5.5555555555555552E-2</v>
      </c>
    </row>
    <row r="9" spans="2:17">
      <c r="B9" s="4" t="s">
        <v>31</v>
      </c>
      <c r="C9" s="18"/>
      <c r="D9" s="18"/>
      <c r="E9" s="18"/>
      <c r="F9" s="18"/>
      <c r="G9" s="19">
        <v>498</v>
      </c>
      <c r="H9" s="19">
        <v>437</v>
      </c>
      <c r="I9" s="19">
        <v>500</v>
      </c>
      <c r="J9" s="19">
        <v>645</v>
      </c>
      <c r="K9" s="19">
        <v>954</v>
      </c>
      <c r="L9" s="19">
        <v>831</v>
      </c>
      <c r="M9" s="19">
        <f>M5/M7*4</f>
        <v>560</v>
      </c>
      <c r="N9" s="19">
        <f>N5/N7*4</f>
        <v>780.71428571428578</v>
      </c>
      <c r="O9" s="19">
        <f>O5/O7*4</f>
        <v>419.91304347826087</v>
      </c>
      <c r="P9" s="19">
        <f>P5/P7*4</f>
        <v>273.86666666666667</v>
      </c>
      <c r="Q9" s="19">
        <f>Q5/Q7*4</f>
        <v>162.87058823529412</v>
      </c>
    </row>
    <row r="10" spans="2:17">
      <c r="B10" s="11" t="s">
        <v>29</v>
      </c>
      <c r="C10" s="8"/>
      <c r="D10" s="8"/>
      <c r="E10" s="8"/>
      <c r="F10" s="8"/>
      <c r="G10" s="20"/>
      <c r="H10" s="13">
        <v>-0.12</v>
      </c>
      <c r="I10" s="13">
        <v>0.15</v>
      </c>
      <c r="J10" s="13">
        <v>0.28999999999999998</v>
      </c>
      <c r="K10" s="13">
        <v>0.48</v>
      </c>
      <c r="L10" s="13">
        <v>-0.13</v>
      </c>
      <c r="M10" s="13">
        <v>-0.34</v>
      </c>
      <c r="N10" s="13">
        <f>(N9-M9)/M9</f>
        <v>0.39413265306122458</v>
      </c>
      <c r="O10" s="13">
        <f>(O9-N9)/N9</f>
        <v>-0.46214248776800992</v>
      </c>
      <c r="P10" s="13">
        <f>(P9-O9)/O9</f>
        <v>-0.347801477186443</v>
      </c>
      <c r="Q10" s="13">
        <f>(Q9-P9)/P9</f>
        <v>-0.40529239933558625</v>
      </c>
    </row>
    <row r="11" spans="2:17">
      <c r="B11" s="2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22"/>
      <c r="P11" s="22"/>
      <c r="Q11" s="22"/>
    </row>
    <row r="12" spans="2:17">
      <c r="B12" s="23"/>
      <c r="C12" s="5" t="s">
        <v>13</v>
      </c>
      <c r="D12" s="5" t="s">
        <v>14</v>
      </c>
      <c r="E12" s="5" t="s">
        <v>15</v>
      </c>
      <c r="F12" s="5" t="s">
        <v>16</v>
      </c>
      <c r="G12" s="5" t="s">
        <v>32</v>
      </c>
      <c r="H12" s="5" t="s">
        <v>33</v>
      </c>
      <c r="I12" s="5" t="s">
        <v>34</v>
      </c>
      <c r="J12" s="5" t="s">
        <v>35</v>
      </c>
      <c r="K12" s="5" t="s">
        <v>36</v>
      </c>
      <c r="L12" s="5" t="s">
        <v>37</v>
      </c>
      <c r="M12" s="5" t="s">
        <v>38</v>
      </c>
      <c r="N12" s="5" t="s">
        <v>39</v>
      </c>
      <c r="O12" s="6" t="s">
        <v>25</v>
      </c>
      <c r="P12" s="6" t="s">
        <v>26</v>
      </c>
      <c r="Q12" s="6" t="s">
        <v>27</v>
      </c>
    </row>
    <row r="13" spans="2:17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P13" s="22"/>
      <c r="Q13" s="22"/>
    </row>
    <row r="14" spans="2:17">
      <c r="B14" s="24" t="s">
        <v>40</v>
      </c>
      <c r="C14" s="25">
        <v>5</v>
      </c>
      <c r="D14" s="25">
        <v>4</v>
      </c>
      <c r="E14" s="25">
        <v>6</v>
      </c>
      <c r="F14" s="25">
        <v>10</v>
      </c>
      <c r="G14" s="25">
        <v>10</v>
      </c>
      <c r="H14" s="25">
        <v>11</v>
      </c>
      <c r="I14" s="25">
        <v>12</v>
      </c>
      <c r="J14" s="25">
        <v>24</v>
      </c>
      <c r="K14" s="25">
        <v>118</v>
      </c>
      <c r="L14" s="25">
        <v>196</v>
      </c>
      <c r="M14" s="25">
        <v>105</v>
      </c>
      <c r="N14" s="25">
        <v>245</v>
      </c>
      <c r="O14" s="25">
        <v>200.2</v>
      </c>
      <c r="P14" s="25">
        <v>140.9</v>
      </c>
      <c r="Q14" s="25">
        <v>75.900000000000006</v>
      </c>
    </row>
    <row r="15" spans="2:17">
      <c r="B15" s="26" t="s">
        <v>41</v>
      </c>
      <c r="C15" s="27">
        <v>0.8</v>
      </c>
      <c r="D15" s="27">
        <v>1.3</v>
      </c>
      <c r="E15" s="27">
        <v>1.2</v>
      </c>
      <c r="F15" s="27">
        <v>1</v>
      </c>
      <c r="G15" s="27">
        <v>1.3</v>
      </c>
      <c r="H15" s="27">
        <v>1.5</v>
      </c>
      <c r="I15" s="27">
        <v>2.1</v>
      </c>
      <c r="J15" s="27">
        <v>2.8</v>
      </c>
      <c r="K15" s="27">
        <v>6.1</v>
      </c>
      <c r="L15" s="27">
        <v>8.8000000000000007</v>
      </c>
      <c r="M15" s="28">
        <v>7.3</v>
      </c>
      <c r="N15" s="28">
        <v>11.2</v>
      </c>
      <c r="O15" s="14">
        <v>9.1999999999999993</v>
      </c>
      <c r="P15" s="14">
        <v>9</v>
      </c>
      <c r="Q15" s="14">
        <v>8.5</v>
      </c>
    </row>
    <row r="16" spans="2:17">
      <c r="B16" s="29" t="s">
        <v>42</v>
      </c>
      <c r="C16" s="30">
        <v>-0.1</v>
      </c>
      <c r="D16" s="30">
        <v>0.5</v>
      </c>
      <c r="E16" s="30">
        <v>-0.1</v>
      </c>
      <c r="F16" s="30">
        <v>-0.2</v>
      </c>
      <c r="G16" s="30">
        <v>0.3</v>
      </c>
      <c r="H16" s="30">
        <v>0.2</v>
      </c>
      <c r="I16" s="30">
        <v>0.6</v>
      </c>
      <c r="J16" s="30">
        <v>0.7</v>
      </c>
      <c r="K16" s="30">
        <v>3.3</v>
      </c>
      <c r="L16" s="30">
        <v>2.7</v>
      </c>
      <c r="M16" s="30">
        <v>-1.4</v>
      </c>
      <c r="N16" s="30">
        <v>4</v>
      </c>
      <c r="O16" s="30">
        <f>O15-N15</f>
        <v>-2</v>
      </c>
      <c r="P16" s="30">
        <f>P15-O15</f>
        <v>-0.19999999999999929</v>
      </c>
      <c r="Q16" s="30">
        <f>Q15-P15</f>
        <v>-0.5</v>
      </c>
    </row>
    <row r="17" spans="2:17">
      <c r="B17" s="31" t="s">
        <v>43</v>
      </c>
      <c r="C17" s="19">
        <v>-50</v>
      </c>
      <c r="D17" s="19">
        <v>8</v>
      </c>
      <c r="E17" s="19">
        <v>-60</v>
      </c>
      <c r="F17" s="19">
        <v>-50</v>
      </c>
      <c r="G17" s="19">
        <v>33</v>
      </c>
      <c r="H17" s="19">
        <v>55</v>
      </c>
      <c r="I17" s="19">
        <v>20</v>
      </c>
      <c r="J17" s="19">
        <v>34</v>
      </c>
      <c r="K17" s="19">
        <v>36</v>
      </c>
      <c r="L17" s="19">
        <v>73</v>
      </c>
      <c r="M17" s="19">
        <v>-75</v>
      </c>
      <c r="N17" s="19">
        <v>61</v>
      </c>
      <c r="O17" s="19">
        <v>-100.1</v>
      </c>
      <c r="P17" s="19">
        <v>-704.50000000000296</v>
      </c>
      <c r="Q17" s="19">
        <v>-151.80000000000001</v>
      </c>
    </row>
    <row r="21" spans="2:17">
      <c r="F21" s="32" t="s">
        <v>44</v>
      </c>
      <c r="G21" s="33">
        <f>G5/3/G7</f>
        <v>41.53846153846154</v>
      </c>
      <c r="H21" s="33">
        <f t="shared" ref="H21:Q21" si="0">H5/3/H7</f>
        <v>36.444444444444443</v>
      </c>
      <c r="I21" s="33">
        <f t="shared" si="0"/>
        <v>41.746031746031747</v>
      </c>
      <c r="J21" s="33">
        <f t="shared" si="0"/>
        <v>53.80952380952381</v>
      </c>
      <c r="K21" s="33">
        <f t="shared" si="0"/>
        <v>79.508196721311478</v>
      </c>
      <c r="L21" s="33">
        <f t="shared" si="0"/>
        <v>69.242424242424235</v>
      </c>
      <c r="M21" s="33">
        <f t="shared" si="0"/>
        <v>46.666666666666671</v>
      </c>
      <c r="N21" s="33">
        <f t="shared" si="0"/>
        <v>65.05952380952381</v>
      </c>
      <c r="O21" s="33">
        <f t="shared" si="0"/>
        <v>34.992753623188406</v>
      </c>
      <c r="P21" s="33">
        <f t="shared" si="0"/>
        <v>22.822222222222223</v>
      </c>
      <c r="Q21" s="33">
        <f t="shared" si="0"/>
        <v>13.572549019607845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51D0-D458-DD4E-9220-DA1FAD2752D2}">
  <dimension ref="F4:N17"/>
  <sheetViews>
    <sheetView tabSelected="1" zoomScale="64" workbookViewId="0">
      <selection activeCell="K23" sqref="K23"/>
    </sheetView>
  </sheetViews>
  <sheetFormatPr baseColWidth="10" defaultRowHeight="16"/>
  <cols>
    <col min="5" max="5" width="21.1640625" customWidth="1"/>
    <col min="6" max="6" width="27.1640625" customWidth="1"/>
    <col min="7" max="7" width="31.1640625" customWidth="1"/>
    <col min="8" max="8" width="31.83203125" customWidth="1"/>
    <col min="9" max="14" width="21.1640625" customWidth="1"/>
  </cols>
  <sheetData>
    <row r="4" spans="6:14">
      <c r="F4" s="37" t="s">
        <v>46</v>
      </c>
      <c r="G4" s="1" t="s">
        <v>3</v>
      </c>
      <c r="H4" s="1" t="s">
        <v>44</v>
      </c>
      <c r="I4" s="1" t="s">
        <v>7</v>
      </c>
      <c r="J4" s="1" t="s">
        <v>4</v>
      </c>
      <c r="K4" s="1" t="s">
        <v>5</v>
      </c>
      <c r="L4" s="1" t="s">
        <v>6</v>
      </c>
      <c r="M4" s="1" t="s">
        <v>9</v>
      </c>
      <c r="N4" s="1" t="s">
        <v>8</v>
      </c>
    </row>
    <row r="5" spans="6:14">
      <c r="F5" s="37"/>
      <c r="G5" s="1" t="s">
        <v>47</v>
      </c>
      <c r="H5" s="1" t="s">
        <v>53</v>
      </c>
      <c r="I5" s="1" t="s">
        <v>48</v>
      </c>
      <c r="J5" s="1" t="s">
        <v>49</v>
      </c>
      <c r="K5" s="1" t="s">
        <v>5</v>
      </c>
      <c r="L5" s="1" t="s">
        <v>51</v>
      </c>
      <c r="M5" s="1" t="s">
        <v>50</v>
      </c>
      <c r="N5" s="1" t="s">
        <v>52</v>
      </c>
    </row>
    <row r="6" spans="6:14">
      <c r="F6" s="2" t="s">
        <v>2</v>
      </c>
      <c r="G6" s="2">
        <v>25</v>
      </c>
      <c r="H6" s="2">
        <v>80</v>
      </c>
      <c r="I6" s="3">
        <v>0.85</v>
      </c>
      <c r="J6" s="1">
        <f>G6*H6*12/I6/100</f>
        <v>282.35294117647061</v>
      </c>
      <c r="K6" s="2">
        <v>5</v>
      </c>
      <c r="L6" s="1">
        <f>J6*K6</f>
        <v>1411.7647058823532</v>
      </c>
      <c r="M6" s="3">
        <v>0.5</v>
      </c>
      <c r="N6" s="34">
        <f>L6*M6+L7*M7+L8*M8</f>
        <v>910.56806722689089</v>
      </c>
    </row>
    <row r="7" spans="6:14">
      <c r="F7" s="2" t="s">
        <v>0</v>
      </c>
      <c r="G7" s="2">
        <v>20</v>
      </c>
      <c r="H7" s="2">
        <v>50</v>
      </c>
      <c r="I7" s="3">
        <v>0.8</v>
      </c>
      <c r="J7" s="1">
        <f t="shared" ref="J7:J8" si="0">G7*H7*12/I7/100</f>
        <v>150</v>
      </c>
      <c r="K7" s="2">
        <v>4</v>
      </c>
      <c r="L7" s="1">
        <f t="shared" ref="L7:L8" si="1">J7*K7</f>
        <v>600</v>
      </c>
      <c r="M7" s="3">
        <v>0.3</v>
      </c>
      <c r="N7" s="34"/>
    </row>
    <row r="8" spans="6:14">
      <c r="F8" s="2" t="s">
        <v>1</v>
      </c>
      <c r="G8" s="2">
        <v>12</v>
      </c>
      <c r="H8" s="2">
        <v>20</v>
      </c>
      <c r="I8" s="3">
        <v>0.7</v>
      </c>
      <c r="J8" s="1">
        <f>G8*H8*12/I8/100</f>
        <v>41.142857142857146</v>
      </c>
      <c r="K8" s="2">
        <v>3</v>
      </c>
      <c r="L8" s="1">
        <f t="shared" si="1"/>
        <v>123.42857142857144</v>
      </c>
      <c r="M8" s="3">
        <v>0.2</v>
      </c>
      <c r="N8" s="34"/>
    </row>
    <row r="9" spans="6:14">
      <c r="G9" s="2"/>
      <c r="H9" s="2"/>
      <c r="I9" s="2"/>
      <c r="J9" s="2"/>
      <c r="K9" s="2"/>
      <c r="L9" s="2"/>
    </row>
    <row r="10" spans="6:14" ht="34" customHeight="1">
      <c r="F10" s="35" t="s">
        <v>54</v>
      </c>
      <c r="G10" s="36"/>
      <c r="H10" s="36"/>
      <c r="I10" s="36"/>
      <c r="J10" s="36"/>
      <c r="K10" s="36"/>
      <c r="L10" s="36"/>
      <c r="M10" s="36"/>
      <c r="N10" s="36"/>
    </row>
    <row r="11" spans="6:14" ht="34" customHeight="1">
      <c r="F11" s="36"/>
      <c r="G11" s="36"/>
      <c r="H11" s="36"/>
      <c r="I11" s="36"/>
      <c r="J11" s="36"/>
      <c r="K11" s="36"/>
      <c r="L11" s="36"/>
      <c r="M11" s="36"/>
      <c r="N11" s="36"/>
    </row>
    <row r="12" spans="6:14" ht="13" customHeight="1">
      <c r="F12" s="36"/>
      <c r="G12" s="36"/>
      <c r="H12" s="36"/>
      <c r="I12" s="36"/>
      <c r="J12" s="36"/>
      <c r="K12" s="36"/>
      <c r="L12" s="36"/>
      <c r="M12" s="36"/>
      <c r="N12" s="36"/>
    </row>
    <row r="13" spans="6:14" ht="12" hidden="1" customHeight="1">
      <c r="F13" s="36"/>
      <c r="G13" s="36"/>
      <c r="H13" s="36"/>
      <c r="I13" s="36"/>
      <c r="J13" s="36"/>
      <c r="K13" s="36"/>
      <c r="L13" s="36"/>
      <c r="M13" s="36"/>
      <c r="N13" s="36"/>
    </row>
    <row r="15" spans="6:14">
      <c r="F15" t="s">
        <v>45</v>
      </c>
      <c r="G15" s="2" t="s">
        <v>12</v>
      </c>
    </row>
    <row r="16" spans="6:14">
      <c r="G16" s="2" t="s">
        <v>10</v>
      </c>
    </row>
    <row r="17" spans="7:7">
      <c r="G17" s="2" t="s">
        <v>11</v>
      </c>
    </row>
  </sheetData>
  <mergeCells count="3">
    <mergeCell ref="N6:N8"/>
    <mergeCell ref="F10:N13"/>
    <mergeCell ref="F4:F5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MTU&amp;ARPU</vt:lpstr>
      <vt:lpstr>Coinbase估值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Wang70,M (pgt)</dc:creator>
  <cp:lastModifiedBy>Wang70,M (pgt)</cp:lastModifiedBy>
  <dcterms:created xsi:type="dcterms:W3CDTF">2022-12-16T03:34:48Z</dcterms:created>
  <dcterms:modified xsi:type="dcterms:W3CDTF">2023-03-13T15:31:37Z</dcterms:modified>
</cp:coreProperties>
</file>