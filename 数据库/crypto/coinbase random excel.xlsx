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enno365-my.sharepoint.com/personal/elizahe_upenn_edu/Documents/01.未来十年/Research/"/>
    </mc:Choice>
  </mc:AlternateContent>
  <xr:revisionPtr revIDLastSave="592" documentId="8_{8C338125-855D-D64F-AE2B-6EE4E3C010F2}" xr6:coauthVersionLast="47" xr6:coauthVersionMax="47" xr10:uidLastSave="{8E5192A2-A50D-44A0-9AC5-7E3A9C577219}"/>
  <bookViews>
    <workbookView xWindow="-120" yWindow="-120" windowWidth="29040" windowHeight="15720" activeTab="3" xr2:uid="{9161BD19-0FC1-9941-B968-AA5FC04D8D26}"/>
  </bookViews>
  <sheets>
    <sheet name="市场更新" sheetId="1" r:id="rId1"/>
    <sheet name="交易总量" sheetId="2" r:id="rId2"/>
    <sheet name="ETFpage (2) Archive" sheetId="7" r:id="rId3"/>
    <sheet name="Sheet8" sheetId="8" r:id="rId4"/>
    <sheet name="ETFpage" sheetId="3" r:id="rId5"/>
    <sheet name="Exchange" sheetId="6" r:id="rId6"/>
    <sheet name="Coinbase price" sheetId="5" r:id="rId7"/>
    <sheet name="Compliance交易所" sheetId="4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7" l="1"/>
  <c r="R10" i="7"/>
  <c r="R8" i="7"/>
  <c r="P7" i="7"/>
  <c r="P8" i="7"/>
  <c r="P9" i="7"/>
  <c r="P10" i="7"/>
  <c r="P6" i="7"/>
  <c r="H38" i="7"/>
  <c r="H39" i="7"/>
  <c r="H40" i="7"/>
  <c r="H41" i="7"/>
  <c r="H42" i="7"/>
  <c r="H37" i="7"/>
  <c r="N7" i="7"/>
  <c r="N8" i="7"/>
  <c r="N9" i="7"/>
  <c r="N10" i="7"/>
  <c r="N6" i="7"/>
  <c r="O6" i="3"/>
  <c r="R10" i="3"/>
  <c r="R8" i="3"/>
  <c r="R7" i="3"/>
  <c r="R6" i="3"/>
  <c r="Q3" i="3"/>
  <c r="Q6" i="3"/>
  <c r="Q5" i="3"/>
  <c r="Q4" i="3"/>
  <c r="Q8" i="3"/>
  <c r="Q7" i="3"/>
  <c r="Q9" i="3"/>
  <c r="Q10" i="3"/>
  <c r="N7" i="3"/>
  <c r="P7" i="3" s="1"/>
  <c r="N8" i="3"/>
  <c r="P8" i="3" s="1"/>
  <c r="N9" i="3"/>
  <c r="P9" i="3" s="1"/>
  <c r="N10" i="3"/>
  <c r="P10" i="3" s="1"/>
  <c r="N6" i="3"/>
  <c r="P6" i="3" s="1"/>
  <c r="I11" i="3"/>
  <c r="L11" i="3" s="1"/>
  <c r="M11" i="3" s="1"/>
  <c r="J11" i="3"/>
  <c r="E27" i="3"/>
  <c r="F11" i="3" s="1"/>
  <c r="D4" i="3"/>
  <c r="D5" i="3"/>
  <c r="D6" i="3"/>
  <c r="D7" i="3"/>
  <c r="C7" i="3" s="1"/>
  <c r="D8" i="3"/>
  <c r="D9" i="3"/>
  <c r="C9" i="3" s="1"/>
  <c r="D10" i="3"/>
  <c r="D11" i="3"/>
  <c r="C11" i="3" s="1"/>
  <c r="E8" i="3"/>
  <c r="E9" i="3"/>
  <c r="D3" i="3"/>
  <c r="C3" i="3" s="1"/>
  <c r="B11" i="3"/>
  <c r="E11" i="3" s="1"/>
  <c r="B4" i="3"/>
  <c r="E4" i="3" s="1"/>
  <c r="B5" i="3"/>
  <c r="E5" i="3" s="1"/>
  <c r="B6" i="3"/>
  <c r="C6" i="3" s="1"/>
  <c r="B7" i="3"/>
  <c r="E7" i="3" s="1"/>
  <c r="B8" i="3"/>
  <c r="B9" i="3"/>
  <c r="B10" i="3"/>
  <c r="B3" i="3"/>
  <c r="E3" i="3" s="1"/>
  <c r="I41" i="7"/>
  <c r="E19" i="7"/>
  <c r="E18" i="7"/>
  <c r="F10" i="7" s="1"/>
  <c r="E17" i="7"/>
  <c r="F9" i="7" s="1"/>
  <c r="H9" i="7" s="1"/>
  <c r="E16" i="7"/>
  <c r="F8" i="7" s="1"/>
  <c r="H8" i="7" s="1"/>
  <c r="E15" i="7"/>
  <c r="E14" i="7"/>
  <c r="F6" i="7" s="1"/>
  <c r="H6" i="7" s="1"/>
  <c r="E13" i="7"/>
  <c r="F5" i="7" s="1"/>
  <c r="J10" i="7"/>
  <c r="E10" i="7"/>
  <c r="D10" i="7"/>
  <c r="O10" i="7" s="1"/>
  <c r="J9" i="7"/>
  <c r="E9" i="7"/>
  <c r="D9" i="7"/>
  <c r="O9" i="7" s="1"/>
  <c r="J8" i="7"/>
  <c r="I9" i="7" s="1"/>
  <c r="K9" i="7" s="1"/>
  <c r="L9" i="7" s="1"/>
  <c r="E8" i="7"/>
  <c r="D8" i="7"/>
  <c r="O8" i="7" s="1"/>
  <c r="J7" i="7"/>
  <c r="I7" i="7" s="1"/>
  <c r="K7" i="7" s="1"/>
  <c r="L7" i="7" s="1"/>
  <c r="F7" i="7"/>
  <c r="E7" i="7"/>
  <c r="D7" i="7"/>
  <c r="O7" i="7" s="1"/>
  <c r="K6" i="7"/>
  <c r="L6" i="7" s="1"/>
  <c r="E6" i="7"/>
  <c r="D6" i="7"/>
  <c r="O6" i="7" s="1"/>
  <c r="K5" i="7"/>
  <c r="E5" i="7"/>
  <c r="D5" i="7"/>
  <c r="E4" i="7"/>
  <c r="D4" i="7"/>
  <c r="E3" i="7"/>
  <c r="D3" i="7"/>
  <c r="L6" i="3"/>
  <c r="M6" i="3" s="1"/>
  <c r="L5" i="3"/>
  <c r="M5" i="3" s="1"/>
  <c r="J9" i="3"/>
  <c r="J10" i="3"/>
  <c r="I10" i="3" s="1"/>
  <c r="L10" i="3" s="1"/>
  <c r="J8" i="3"/>
  <c r="J7" i="3"/>
  <c r="I7" i="3" s="1"/>
  <c r="L7" i="3" s="1"/>
  <c r="M7" i="3" s="1"/>
  <c r="C3" i="4"/>
  <c r="C4" i="4"/>
  <c r="C5" i="4"/>
  <c r="C6" i="4"/>
  <c r="C7" i="4"/>
  <c r="C8" i="4"/>
  <c r="C9" i="4"/>
  <c r="C10" i="4"/>
  <c r="C11" i="4"/>
  <c r="C12" i="4"/>
  <c r="C13" i="4"/>
  <c r="C14" i="4"/>
  <c r="C2" i="4"/>
  <c r="A15" i="4"/>
  <c r="E23" i="3"/>
  <c r="F7" i="3" s="1"/>
  <c r="E24" i="3"/>
  <c r="F8" i="3" s="1"/>
  <c r="H8" i="3" s="1"/>
  <c r="E25" i="3"/>
  <c r="F9" i="3" s="1"/>
  <c r="H9" i="3" s="1"/>
  <c r="E26" i="3"/>
  <c r="F10" i="3" s="1"/>
  <c r="H10" i="3" s="1"/>
  <c r="E21" i="3"/>
  <c r="F5" i="3" s="1"/>
  <c r="H5" i="3" s="1"/>
  <c r="E22" i="3"/>
  <c r="F6" i="3" s="1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17" i="2"/>
  <c r="S19" i="1"/>
  <c r="L5" i="7" l="1"/>
  <c r="I10" i="7"/>
  <c r="K10" i="7" s="1"/>
  <c r="L10" i="7" s="1"/>
  <c r="I8" i="7"/>
  <c r="K8" i="7" s="1"/>
  <c r="L8" i="7" s="1"/>
  <c r="R9" i="3"/>
  <c r="O10" i="3"/>
  <c r="O9" i="3"/>
  <c r="C4" i="3"/>
  <c r="O8" i="3"/>
  <c r="H7" i="3"/>
  <c r="E6" i="3"/>
  <c r="O7" i="3"/>
  <c r="I8" i="3"/>
  <c r="L8" i="3" s="1"/>
  <c r="M10" i="3"/>
  <c r="C10" i="3"/>
  <c r="C8" i="3"/>
  <c r="C5" i="3"/>
  <c r="E10" i="3"/>
  <c r="M8" i="3"/>
  <c r="H6" i="3"/>
  <c r="H5" i="7"/>
  <c r="H7" i="7"/>
  <c r="H10" i="7"/>
  <c r="H38" i="3"/>
  <c r="I9" i="3"/>
  <c r="L9" i="3" s="1"/>
  <c r="M9" i="3" s="1"/>
  <c r="H41" i="3"/>
  <c r="I41" i="3" s="1"/>
  <c r="H40" i="3"/>
  <c r="H37" i="3"/>
  <c r="H42" i="3"/>
  <c r="H39" i="3"/>
  <c r="R15" i="1"/>
  <c r="Q15" i="1"/>
</calcChain>
</file>

<file path=xl/sharedStrings.xml><?xml version="1.0" encoding="utf-8"?>
<sst xmlns="http://schemas.openxmlformats.org/spreadsheetml/2006/main" count="368" uniqueCount="204">
  <si>
    <t>Year</t>
    <phoneticPr fontId="3" type="noConversion"/>
  </si>
  <si>
    <t>Binance</t>
  </si>
  <si>
    <t>OKX</t>
  </si>
  <si>
    <t>Bybit</t>
  </si>
  <si>
    <t>Bitget</t>
  </si>
  <si>
    <t>Crypto.com</t>
  </si>
  <si>
    <t>Coinbase</t>
  </si>
  <si>
    <t>2024 Q1</t>
    <phoneticPr fontId="3" type="noConversion"/>
  </si>
  <si>
    <t>2024 Q2</t>
  </si>
  <si>
    <t>2024 Q3</t>
  </si>
  <si>
    <t>2024 Q4</t>
  </si>
  <si>
    <t>2025 Q1</t>
  </si>
  <si>
    <t>2025 Q2</t>
  </si>
  <si>
    <t>Exchange</t>
  </si>
  <si>
    <t>Spot Volume</t>
  </si>
  <si>
    <t>Derivatives Volume</t>
  </si>
  <si>
    <t>Coinbase</t>
    <phoneticPr fontId="3" type="noConversion"/>
  </si>
  <si>
    <t>Bullish</t>
  </si>
  <si>
    <t xml:space="preserve"> </t>
  </si>
  <si>
    <t>CEX</t>
  </si>
  <si>
    <t>Bitrue</t>
  </si>
  <si>
    <t>MEXC Global</t>
  </si>
  <si>
    <t>HTX</t>
  </si>
  <si>
    <t>XT.com</t>
  </si>
  <si>
    <t>KuCoin</t>
  </si>
  <si>
    <t>LBank</t>
  </si>
  <si>
    <t>Gate</t>
  </si>
  <si>
    <t>Quarter</t>
  </si>
  <si>
    <t>交易总量</t>
  </si>
  <si>
    <t>Quarter Start</t>
  </si>
  <si>
    <t>美国交易所</t>
  </si>
  <si>
    <t>非美国交易所</t>
  </si>
  <si>
    <t>美国%</t>
  </si>
  <si>
    <t>ETF%</t>
  </si>
  <si>
    <t>ETF交易量</t>
  </si>
  <si>
    <t>Kraken</t>
  </si>
  <si>
    <t>Gemini</t>
  </si>
  <si>
    <t>bitFlyer US</t>
  </si>
  <si>
    <t>Robinhood</t>
  </si>
  <si>
    <t>N/A</t>
  </si>
  <si>
    <t>合规交易所</t>
  </si>
  <si>
    <t>非合规交易所</t>
  </si>
  <si>
    <t>Year</t>
  </si>
  <si>
    <t>Binance US</t>
  </si>
  <si>
    <t>Q3</t>
  </si>
  <si>
    <t>$22.89B</t>
  </si>
  <si>
    <t>$12.07B</t>
  </si>
  <si>
    <t>$2.85B</t>
  </si>
  <si>
    <t>$21.94B</t>
  </si>
  <si>
    <t>$161.95M</t>
  </si>
  <si>
    <t>Q2</t>
  </si>
  <si>
    <t>$226.07B</t>
  </si>
  <si>
    <t>$94.12B</t>
  </si>
  <si>
    <t>$17.91B</t>
  </si>
  <si>
    <t>$211.02B</t>
  </si>
  <si>
    <t>$865.45M</t>
  </si>
  <si>
    <t>Q1</t>
  </si>
  <si>
    <t>$387.79B</t>
  </si>
  <si>
    <t>$116.14B</t>
  </si>
  <si>
    <t>$12.84B</t>
  </si>
  <si>
    <t>$559.01B</t>
  </si>
  <si>
    <t>$1.29B</t>
  </si>
  <si>
    <t>Q4</t>
  </si>
  <si>
    <t>$438.33B</t>
  </si>
  <si>
    <t>$127.03B</t>
  </si>
  <si>
    <t>$13.86B</t>
  </si>
  <si>
    <t>$754.45B</t>
  </si>
  <si>
    <t>$2.02B</t>
  </si>
  <si>
    <t>$180.04B</t>
  </si>
  <si>
    <t>$60.93B</t>
  </si>
  <si>
    <t>$5.62B</t>
  </si>
  <si>
    <t>$298.04B</t>
  </si>
  <si>
    <t>$798.65M</t>
  </si>
  <si>
    <t>$217.60B</t>
  </si>
  <si>
    <t>$71.16B</t>
  </si>
  <si>
    <t>$6.10B</t>
  </si>
  <si>
    <t>$112.84B</t>
  </si>
  <si>
    <t>$1.26B</t>
  </si>
  <si>
    <t>$301.44B</t>
  </si>
  <si>
    <t>$104.48B</t>
  </si>
  <si>
    <t>$7.09B</t>
  </si>
  <si>
    <t>$117.39B</t>
  </si>
  <si>
    <t>$2.47B</t>
  </si>
  <si>
    <t>$148.82B</t>
  </si>
  <si>
    <t>$67.45B</t>
  </si>
  <si>
    <t>$3.29B</t>
  </si>
  <si>
    <t>$64.10B</t>
  </si>
  <si>
    <t>$1.61B</t>
  </si>
  <si>
    <t>$75.01B</t>
  </si>
  <si>
    <t>$36.85B</t>
  </si>
  <si>
    <t>$1.62B</t>
  </si>
  <si>
    <t>$9.96B</t>
  </si>
  <si>
    <t>$908.94M</t>
  </si>
  <si>
    <t>$90.91B</t>
  </si>
  <si>
    <t>$39.96B</t>
  </si>
  <si>
    <t>$2.23B</t>
  </si>
  <si>
    <t>$10.30B</t>
  </si>
  <si>
    <t>$22.93B</t>
  </si>
  <si>
    <t>$142.58B</t>
  </si>
  <si>
    <t>$58.90B</t>
  </si>
  <si>
    <t>$2.68B</t>
  </si>
  <si>
    <t>$24.93B</t>
  </si>
  <si>
    <t>$39.52B</t>
  </si>
  <si>
    <t>$143.60B</t>
  </si>
  <si>
    <t>$47.12B</t>
  </si>
  <si>
    <t>$4.00B</t>
  </si>
  <si>
    <t>$18.51B</t>
  </si>
  <si>
    <t>$28.20B</t>
  </si>
  <si>
    <t>$144.63B</t>
  </si>
  <si>
    <t>$42.75B</t>
  </si>
  <si>
    <t>$6.62B</t>
  </si>
  <si>
    <t>$31.70B</t>
  </si>
  <si>
    <t>$32.31B</t>
  </si>
  <si>
    <t>$168.11B</t>
  </si>
  <si>
    <t>$11.25B</t>
  </si>
  <si>
    <t>$30.47B</t>
  </si>
  <si>
    <t>$24.79B</t>
  </si>
  <si>
    <t>(see source)</t>
  </si>
  <si>
    <t>$1.44T</t>
  </si>
  <si>
    <t>$222.05B</t>
  </si>
  <si>
    <t>$261.85B</t>
  </si>
  <si>
    <t>$262.41B</t>
  </si>
  <si>
    <t>$1.99T</t>
  </si>
  <si>
    <t>$219.08B</t>
  </si>
  <si>
    <t>$477.29B</t>
  </si>
  <si>
    <t>$327.98B</t>
  </si>
  <si>
    <t>$2.35T</t>
  </si>
  <si>
    <t>$273.80B</t>
  </si>
  <si>
    <t>$587.57B</t>
  </si>
  <si>
    <t>$394.97B</t>
  </si>
  <si>
    <t>$1.19T</t>
  </si>
  <si>
    <t>$134.57B</t>
  </si>
  <si>
    <t>$406.66B</t>
  </si>
  <si>
    <t>$178.10B</t>
  </si>
  <si>
    <t>$1.65T</t>
  </si>
  <si>
    <t>$173.32B</t>
  </si>
  <si>
    <t>$365.62B</t>
  </si>
  <si>
    <t>$283.04B</t>
  </si>
  <si>
    <t>$2.07T</t>
  </si>
  <si>
    <t>$110.26B</t>
  </si>
  <si>
    <t>$358.21B</t>
  </si>
  <si>
    <t>$381.49B</t>
  </si>
  <si>
    <t>$893.22B</t>
  </si>
  <si>
    <t>$166.51B</t>
  </si>
  <si>
    <t>$206.06B</t>
  </si>
  <si>
    <t>$496.23B</t>
  </si>
  <si>
    <t>$56.77B</t>
  </si>
  <si>
    <t>$67.02B</t>
  </si>
  <si>
    <t>$707.51B</t>
  </si>
  <si>
    <t>$43.18B</t>
  </si>
  <si>
    <t>$92.23B</t>
  </si>
  <si>
    <t>$1.52T</t>
  </si>
  <si>
    <t>$5.58B</t>
  </si>
  <si>
    <t>$130.74B</t>
  </si>
  <si>
    <t>$1.14T</t>
  </si>
  <si>
    <t>$104.06B</t>
  </si>
  <si>
    <t>$1.29T</t>
  </si>
  <si>
    <t>$39.09B</t>
  </si>
  <si>
    <t>$153.28B</t>
  </si>
  <si>
    <t>PancakeSwap</t>
  </si>
  <si>
    <t>Period</t>
  </si>
  <si>
    <t>Total</t>
  </si>
  <si>
    <t>22Q3</t>
  </si>
  <si>
    <t>22Q4</t>
  </si>
  <si>
    <t>23Q1</t>
  </si>
  <si>
    <t>23Q2</t>
  </si>
  <si>
    <t>23Q3</t>
  </si>
  <si>
    <t>23Q4</t>
  </si>
  <si>
    <t>24Q1</t>
  </si>
  <si>
    <t>24Q2</t>
  </si>
  <si>
    <t>24Q3</t>
  </si>
  <si>
    <t>24Q4</t>
  </si>
  <si>
    <t>25Q1</t>
  </si>
  <si>
    <t>25Q2</t>
  </si>
  <si>
    <t>25Q3</t>
  </si>
  <si>
    <t>BTCETF交易量</t>
  </si>
  <si>
    <t>ETH ETF</t>
  </si>
  <si>
    <t>Date</t>
  </si>
  <si>
    <t>Close</t>
  </si>
  <si>
    <t>BTC ETF</t>
  </si>
  <si>
    <t>BTC+ETH ETF 交易量</t>
  </si>
  <si>
    <t>BTC ETF交易量</t>
  </si>
  <si>
    <t>ETH ETF Cumulative</t>
  </si>
  <si>
    <t>ETH ETF交易量</t>
  </si>
  <si>
    <t>BTC+ETH ETF交易量</t>
  </si>
  <si>
    <t>总交易量</t>
  </si>
  <si>
    <t>US Region Volume (USD)</t>
  </si>
  <si>
    <t>Global Volume (USD)</t>
  </si>
  <si>
    <t>US % Share</t>
  </si>
  <si>
    <t>BTC ETF交易量（Cumu）</t>
  </si>
  <si>
    <t>B</t>
  </si>
  <si>
    <t>ETF% of US</t>
  </si>
  <si>
    <t>ETF% of Global</t>
  </si>
  <si>
    <t>sosovalue</t>
  </si>
  <si>
    <t>block</t>
  </si>
  <si>
    <t>Total exchange trading volume</t>
  </si>
  <si>
    <t>Mesari</t>
    <phoneticPr fontId="3" type="noConversion"/>
  </si>
  <si>
    <t>ETF % of Global</t>
  </si>
  <si>
    <t>Mesari</t>
  </si>
  <si>
    <t>Block</t>
  </si>
  <si>
    <t>sosvvalue</t>
  </si>
  <si>
    <t>defillama</t>
  </si>
  <si>
    <t>Platform</t>
  </si>
  <si>
    <t>Traffic Share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</si>
</sst>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[$-409]mmm\-yy;@"/>
    <numFmt numFmtId="165" formatCode="0.0%"/>
    <numFmt numFmtId="166" formatCode="0.0"/>
    <numFmt numFmtId="174" formatCode="&quot;$&quot;#,##0.00"/>
  </numFmts>
  <fonts count="12">
    <font>
      <sz val="12"/>
      <color theme="1"/>
      <name val="Aptos Narrow"/>
      <family val="2"/>
      <charset val="134"/>
      <scheme val="minor"/>
    </font>
    <font>
      <sz val="14"/>
      <color theme="1"/>
      <name val="Avenir"/>
      <family val="2"/>
    </font>
    <font>
      <b/>
      <sz val="14"/>
      <color theme="1"/>
      <name val="Avenir"/>
      <family val="2"/>
    </font>
    <font>
      <sz val="9"/>
      <name val="Aptos Narrow"/>
      <family val="2"/>
      <charset val="134"/>
      <scheme val="minor"/>
    </font>
    <font>
      <b/>
      <sz val="12"/>
      <color theme="1"/>
      <name val="Aptos Narrow"/>
      <family val="4"/>
      <charset val="134"/>
      <scheme val="minor"/>
    </font>
    <font>
      <sz val="11"/>
      <color theme="1"/>
      <name val="Segoe UI"/>
      <family val="2"/>
    </font>
    <font>
      <b/>
      <sz val="12"/>
      <color theme="1"/>
      <name val="Aptos Narrow"/>
      <family val="2"/>
      <charset val="134"/>
      <scheme val="minor"/>
    </font>
    <font>
      <sz val="7"/>
      <color theme="1"/>
      <name val="Segoe UI"/>
      <family val="2"/>
    </font>
    <font>
      <sz val="15"/>
      <color theme="1"/>
      <name val="Segoe UI"/>
      <family val="2"/>
    </font>
    <font>
      <u/>
      <sz val="12"/>
      <color theme="10"/>
      <name val="Aptos Narrow"/>
      <family val="2"/>
      <charset val="134"/>
      <scheme val="minor"/>
    </font>
    <font>
      <sz val="10"/>
      <color theme="1"/>
      <name val="Arial"/>
      <family val="2"/>
    </font>
    <font>
      <sz val="15"/>
      <color theme="1"/>
      <name val="Aptos Narrow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rgb="FF1D2330"/>
      </left>
      <right style="medium">
        <color rgb="FF1D2330"/>
      </right>
      <top style="medium">
        <color rgb="FF1D2330"/>
      </top>
      <bottom style="medium">
        <color rgb="FF1D233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/>
    <xf numFmtId="0" fontId="1" fillId="0" borderId="0" xfId="0" applyFont="1" applyAlignment="1"/>
    <xf numFmtId="3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>
      <alignment vertical="center"/>
    </xf>
    <xf numFmtId="0" fontId="6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6" fontId="0" fillId="0" borderId="0" xfId="0" applyNumberFormat="1" applyAlignment="1">
      <alignment horizontal="left" vertical="center" wrapText="1"/>
    </xf>
    <xf numFmtId="165" fontId="0" fillId="0" borderId="0" xfId="0" applyNumberFormat="1">
      <alignment vertical="center"/>
    </xf>
    <xf numFmtId="165" fontId="0" fillId="0" borderId="0" xfId="0" applyNumberFormat="1" applyFont="1">
      <alignment vertical="center"/>
    </xf>
    <xf numFmtId="166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>
      <alignment vertical="center"/>
    </xf>
    <xf numFmtId="6" fontId="7" fillId="0" borderId="1" xfId="0" applyNumberFormat="1" applyFont="1" applyBorder="1">
      <alignment vertical="center"/>
    </xf>
    <xf numFmtId="0" fontId="9" fillId="0" borderId="0" xfId="1">
      <alignment vertical="center"/>
    </xf>
    <xf numFmtId="0" fontId="10" fillId="0" borderId="2" xfId="0" applyFont="1" applyBorder="1" applyAlignment="1">
      <alignment wrapText="1"/>
    </xf>
    <xf numFmtId="22" fontId="10" fillId="0" borderId="2" xfId="0" applyNumberFormat="1" applyFont="1" applyBorder="1" applyAlignment="1">
      <alignment horizontal="right" wrapText="1"/>
    </xf>
    <xf numFmtId="0" fontId="10" fillId="0" borderId="2" xfId="0" applyFont="1" applyBorder="1" applyAlignment="1">
      <alignment horizontal="right" wrapText="1"/>
    </xf>
    <xf numFmtId="0" fontId="11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4" fontId="0" fillId="2" borderId="0" xfId="0" applyNumberFormat="1" applyFill="1" applyAlignment="1">
      <alignment horizontal="left" vertical="center" wrapText="1"/>
    </xf>
    <xf numFmtId="6" fontId="0" fillId="2" borderId="0" xfId="0" applyNumberFormat="1" applyFill="1" applyAlignment="1">
      <alignment horizontal="left" vertical="center" wrapText="1"/>
    </xf>
    <xf numFmtId="165" fontId="0" fillId="2" borderId="0" xfId="0" applyNumberFormat="1" applyFill="1">
      <alignment vertical="center"/>
    </xf>
    <xf numFmtId="166" fontId="0" fillId="2" borderId="0" xfId="0" applyNumberFormat="1" applyFill="1">
      <alignment vertical="center"/>
    </xf>
    <xf numFmtId="0" fontId="0" fillId="2" borderId="0" xfId="0" applyFill="1">
      <alignment vertical="center"/>
    </xf>
    <xf numFmtId="10" fontId="0" fillId="2" borderId="0" xfId="0" applyNumberFormat="1" applyFill="1">
      <alignment vertical="center"/>
    </xf>
    <xf numFmtId="174" fontId="0" fillId="2" borderId="0" xfId="0" applyNumberFormat="1" applyFill="1">
      <alignment vertical="center"/>
    </xf>
    <xf numFmtId="0" fontId="0" fillId="3" borderId="0" xfId="0" applyFill="1">
      <alignment vertical="center"/>
    </xf>
    <xf numFmtId="0" fontId="6" fillId="3" borderId="0" xfId="0" applyFont="1" applyFill="1" applyAlignment="1">
      <alignment horizontal="left" vertical="center" wrapText="1"/>
    </xf>
    <xf numFmtId="1" fontId="0" fillId="3" borderId="0" xfId="0" applyNumberFormat="1" applyFill="1">
      <alignment vertical="center"/>
    </xf>
    <xf numFmtId="9" fontId="6" fillId="0" borderId="0" xfId="0" applyNumberFormat="1" applyFont="1" applyAlignment="1">
      <alignment horizontal="left" vertical="center" wrapText="1"/>
    </xf>
    <xf numFmtId="9" fontId="0" fillId="0" borderId="0" xfId="0" applyNumberFormat="1">
      <alignment vertical="center"/>
    </xf>
  </cellXfs>
  <cellStyles count="2">
    <cellStyle name="Hyperlink" xfId="1" builtinId="8"/>
    <cellStyle name="Normal" xfId="0" builtinId="0"/>
  </cellStyles>
  <dxfs count="2">
    <dxf>
      <font>
        <sz val="14"/>
        <name val="Avenir"/>
        <family val="2"/>
        <scheme val="none"/>
      </font>
      <numFmt numFmtId="13" formatCode="0%"/>
    </dxf>
    <dxf>
      <font>
        <b val="0"/>
        <i val="0"/>
        <strike val="0"/>
        <u val="none"/>
        <sz val="14"/>
        <color theme="1"/>
        <name val="Avenir"/>
        <family val="2"/>
        <scheme val="none"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Top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5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CEX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Market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share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by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Deriative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市场更新!$B$1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市场更新!$A$2:$A$7</c:f>
              <c:strCache>
                <c:ptCount val="6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</c:strCache>
            </c:strRef>
          </c:cat>
          <c:val>
            <c:numRef>
              <c:f>市场更新!$B$2:$B$7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9-1845-ABC7-11D4A7240196}"/>
            </c:ext>
          </c:extLst>
        </c:ser>
        <c:ser>
          <c:idx val="1"/>
          <c:order val="1"/>
          <c:tx>
            <c:strRef>
              <c:f>市场更新!$C$1</c:f>
              <c:strCache>
                <c:ptCount val="1"/>
                <c:pt idx="0">
                  <c:v>Binance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市场更新!$A$2:$A$7</c:f>
              <c:strCache>
                <c:ptCount val="6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</c:strCache>
            </c:strRef>
          </c:cat>
          <c:val>
            <c:numRef>
              <c:f>市场更新!$C$2:$C$7</c:f>
              <c:numCache>
                <c:formatCode>General</c:formatCode>
                <c:ptCount val="6"/>
                <c:pt idx="0">
                  <c:v>48.6</c:v>
                </c:pt>
                <c:pt idx="1">
                  <c:v>47.8</c:v>
                </c:pt>
                <c:pt idx="2">
                  <c:v>45</c:v>
                </c:pt>
                <c:pt idx="3">
                  <c:v>44</c:v>
                </c:pt>
                <c:pt idx="4">
                  <c:v>43.3</c:v>
                </c:pt>
                <c:pt idx="5">
                  <c:v>41.9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09-1845-ABC7-11D4A7240196}"/>
            </c:ext>
          </c:extLst>
        </c:ser>
        <c:ser>
          <c:idx val="2"/>
          <c:order val="2"/>
          <c:tx>
            <c:strRef>
              <c:f>市场更新!$D$1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市场更新!$A$2:$A$7</c:f>
              <c:strCache>
                <c:ptCount val="6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</c:strCache>
            </c:strRef>
          </c:cat>
          <c:val>
            <c:numRef>
              <c:f>市场更新!$D$2:$D$7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309-1845-ABC7-11D4A7240196}"/>
            </c:ext>
          </c:extLst>
        </c:ser>
        <c:ser>
          <c:idx val="3"/>
          <c:order val="3"/>
          <c:tx>
            <c:strRef>
              <c:f>市场更新!$E$1</c:f>
              <c:strCache>
                <c:ptCount val="1"/>
                <c:pt idx="0">
                  <c:v>OKX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市场更新!$A$2:$A$7</c:f>
              <c:strCache>
                <c:ptCount val="6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</c:strCache>
            </c:strRef>
          </c:cat>
          <c:val>
            <c:numRef>
              <c:f>市场更新!$E$2:$E$7</c:f>
              <c:numCache>
                <c:formatCode>General</c:formatCode>
                <c:ptCount val="6"/>
                <c:pt idx="0">
                  <c:v>24.6</c:v>
                </c:pt>
                <c:pt idx="1">
                  <c:v>22.7</c:v>
                </c:pt>
                <c:pt idx="2">
                  <c:v>20.100000000000001</c:v>
                </c:pt>
                <c:pt idx="3">
                  <c:v>19.3</c:v>
                </c:pt>
                <c:pt idx="4">
                  <c:v>19</c:v>
                </c:pt>
                <c:pt idx="5">
                  <c:v>19.600000000000001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309-1845-ABC7-11D4A7240196}"/>
            </c:ext>
          </c:extLst>
        </c:ser>
        <c:ser>
          <c:idx val="4"/>
          <c:order val="4"/>
          <c:tx>
            <c:strRef>
              <c:f>市场更新!$F$1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市场更新!$A$2:$A$7</c:f>
              <c:strCache>
                <c:ptCount val="6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</c:strCache>
            </c:strRef>
          </c:cat>
          <c:val>
            <c:numRef>
              <c:f>市场更新!$F$2:$F$7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309-1845-ABC7-11D4A7240196}"/>
            </c:ext>
          </c:extLst>
        </c:ser>
        <c:ser>
          <c:idx val="5"/>
          <c:order val="5"/>
          <c:tx>
            <c:strRef>
              <c:f>市场更新!$G$1</c:f>
              <c:strCache>
                <c:ptCount val="1"/>
                <c:pt idx="0">
                  <c:v>Bybit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市场更新!$A$2:$A$7</c:f>
              <c:strCache>
                <c:ptCount val="6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</c:strCache>
            </c:strRef>
          </c:cat>
          <c:val>
            <c:numRef>
              <c:f>市场更新!$G$2:$G$7</c:f>
              <c:numCache>
                <c:formatCode>General</c:formatCode>
                <c:ptCount val="6"/>
                <c:pt idx="0">
                  <c:v>13.4</c:v>
                </c:pt>
                <c:pt idx="1">
                  <c:v>16.3</c:v>
                </c:pt>
                <c:pt idx="2">
                  <c:v>16.7</c:v>
                </c:pt>
                <c:pt idx="3">
                  <c:v>16.7</c:v>
                </c:pt>
                <c:pt idx="4">
                  <c:v>17.100000000000001</c:v>
                </c:pt>
                <c:pt idx="5">
                  <c:v>16.100000000000001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309-1845-ABC7-11D4A7240196}"/>
            </c:ext>
          </c:extLst>
        </c:ser>
        <c:ser>
          <c:idx val="6"/>
          <c:order val="6"/>
          <c:tx>
            <c:strRef>
              <c:f>市场更新!$H$1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市场更新!$A$2:$A$7</c:f>
              <c:strCache>
                <c:ptCount val="6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</c:strCache>
            </c:strRef>
          </c:cat>
          <c:val>
            <c:numRef>
              <c:f>市场更新!$H$2:$H$7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309-1845-ABC7-11D4A7240196}"/>
            </c:ext>
          </c:extLst>
        </c:ser>
        <c:ser>
          <c:idx val="7"/>
          <c:order val="7"/>
          <c:tx>
            <c:strRef>
              <c:f>市场更新!$I$1</c:f>
              <c:strCache>
                <c:ptCount val="1"/>
                <c:pt idx="0">
                  <c:v>Bitget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市场更新!$A$2:$A$7</c:f>
              <c:strCache>
                <c:ptCount val="6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</c:strCache>
            </c:strRef>
          </c:cat>
          <c:val>
            <c:numRef>
              <c:f>市场更新!$I$2:$I$7</c:f>
              <c:numCache>
                <c:formatCode>General</c:formatCode>
                <c:ptCount val="6"/>
                <c:pt idx="0">
                  <c:v>12.4</c:v>
                </c:pt>
                <c:pt idx="1">
                  <c:v>14.8</c:v>
                </c:pt>
                <c:pt idx="2">
                  <c:v>16.2</c:v>
                </c:pt>
                <c:pt idx="3">
                  <c:v>15.1</c:v>
                </c:pt>
                <c:pt idx="4">
                  <c:v>16.7</c:v>
                </c:pt>
                <c:pt idx="5">
                  <c:v>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309-1845-ABC7-11D4A7240196}"/>
            </c:ext>
          </c:extLst>
        </c:ser>
        <c:ser>
          <c:idx val="8"/>
          <c:order val="8"/>
          <c:tx>
            <c:strRef>
              <c:f>市场更新!$J$1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市场更新!$A$2:$A$7</c:f>
              <c:strCache>
                <c:ptCount val="6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</c:strCache>
            </c:strRef>
          </c:cat>
          <c:val>
            <c:numRef>
              <c:f>市场更新!$J$2:$J$7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309-1845-ABC7-11D4A7240196}"/>
            </c:ext>
          </c:extLst>
        </c:ser>
        <c:ser>
          <c:idx val="9"/>
          <c:order val="9"/>
          <c:tx>
            <c:strRef>
              <c:f>市场更新!$K$1</c:f>
              <c:strCache>
                <c:ptCount val="1"/>
                <c:pt idx="0">
                  <c:v>Crypto.com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市场更新!$A$2:$A$7</c:f>
              <c:strCache>
                <c:ptCount val="6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</c:strCache>
            </c:strRef>
          </c:cat>
          <c:val>
            <c:numRef>
              <c:f>市场更新!$K$2:$K$7</c:f>
              <c:numCache>
                <c:formatCode>General</c:formatCode>
                <c:ptCount val="6"/>
                <c:pt idx="0">
                  <c:v>1</c:v>
                </c:pt>
                <c:pt idx="1">
                  <c:v>1.1000000000000001</c:v>
                </c:pt>
                <c:pt idx="2">
                  <c:v>3.5</c:v>
                </c:pt>
                <c:pt idx="3">
                  <c:v>3.6</c:v>
                </c:pt>
                <c:pt idx="4">
                  <c:v>2.6</c:v>
                </c:pt>
                <c:pt idx="5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D309-1845-ABC7-11D4A7240196}"/>
            </c:ext>
          </c:extLst>
        </c:ser>
        <c:ser>
          <c:idx val="10"/>
          <c:order val="10"/>
          <c:tx>
            <c:strRef>
              <c:f>市场更新!$L$1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市场更新!$A$2:$A$7</c:f>
              <c:strCache>
                <c:ptCount val="6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</c:strCache>
            </c:strRef>
          </c:cat>
          <c:val>
            <c:numRef>
              <c:f>市场更新!$L$2:$L$7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D309-1845-ABC7-11D4A7240196}"/>
            </c:ext>
          </c:extLst>
        </c:ser>
        <c:ser>
          <c:idx val="11"/>
          <c:order val="11"/>
          <c:tx>
            <c:strRef>
              <c:f>市场更新!$M$1</c:f>
              <c:strCache>
                <c:ptCount val="1"/>
                <c:pt idx="0">
                  <c:v>Coinbase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市场更新!$A$2:$A$7</c:f>
              <c:strCache>
                <c:ptCount val="6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</c:strCache>
            </c:strRef>
          </c:cat>
          <c:val>
            <c:numRef>
              <c:f>市场更新!$M$2:$M$7</c:f>
              <c:numCache>
                <c:formatCode>General</c:formatCode>
                <c:ptCount val="6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0.05</c:v>
                </c:pt>
                <c:pt idx="4">
                  <c:v>2E-3</c:v>
                </c:pt>
                <c:pt idx="5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D309-1845-ABC7-11D4A7240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64110911"/>
        <c:axId val="764112623"/>
      </c:barChart>
      <c:catAx>
        <c:axId val="76411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12623"/>
        <c:crosses val="autoZero"/>
        <c:auto val="1"/>
        <c:lblAlgn val="ctr"/>
        <c:lblOffset val="100"/>
        <c:noMultiLvlLbl val="0"/>
      </c:catAx>
      <c:valAx>
        <c:axId val="7641126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1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8"/>
        <c:delete val="1"/>
      </c:legendEntry>
      <c:legendEntry>
        <c:idx val="1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市场更新!$Q$9</c:f>
              <c:strCache>
                <c:ptCount val="1"/>
                <c:pt idx="0">
                  <c:v>Spot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市场更新!$P$10:$P$15</c:f>
              <c:strCache>
                <c:ptCount val="6"/>
                <c:pt idx="0">
                  <c:v>Binance</c:v>
                </c:pt>
                <c:pt idx="1">
                  <c:v>OKX</c:v>
                </c:pt>
                <c:pt idx="2">
                  <c:v>Bybit</c:v>
                </c:pt>
                <c:pt idx="3">
                  <c:v>Bitget</c:v>
                </c:pt>
                <c:pt idx="4">
                  <c:v>Crypto.com</c:v>
                </c:pt>
                <c:pt idx="5">
                  <c:v>Coinbase</c:v>
                </c:pt>
              </c:strCache>
            </c:strRef>
          </c:cat>
          <c:val>
            <c:numRef>
              <c:f>市场更新!$Q$10:$Q$15</c:f>
              <c:numCache>
                <c:formatCode>General</c:formatCode>
                <c:ptCount val="6"/>
                <c:pt idx="0">
                  <c:v>19.920000000000002</c:v>
                </c:pt>
                <c:pt idx="1">
                  <c:v>8.86</c:v>
                </c:pt>
                <c:pt idx="2">
                  <c:v>10.5</c:v>
                </c:pt>
                <c:pt idx="3">
                  <c:v>10.79</c:v>
                </c:pt>
                <c:pt idx="4">
                  <c:v>54.82</c:v>
                </c:pt>
                <c:pt idx="5">
                  <c:v>37.500000000000007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D-3742-B429-C65999F241FF}"/>
            </c:ext>
          </c:extLst>
        </c:ser>
        <c:ser>
          <c:idx val="1"/>
          <c:order val="1"/>
          <c:tx>
            <c:strRef>
              <c:f>市场更新!$R$9</c:f>
              <c:strCache>
                <c:ptCount val="1"/>
                <c:pt idx="0">
                  <c:v>Derivatives 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市场更新!$P$10:$P$15</c:f>
              <c:strCache>
                <c:ptCount val="6"/>
                <c:pt idx="0">
                  <c:v>Binance</c:v>
                </c:pt>
                <c:pt idx="1">
                  <c:v>OKX</c:v>
                </c:pt>
                <c:pt idx="2">
                  <c:v>Bybit</c:v>
                </c:pt>
                <c:pt idx="3">
                  <c:v>Bitget</c:v>
                </c:pt>
                <c:pt idx="4">
                  <c:v>Crypto.com</c:v>
                </c:pt>
                <c:pt idx="5">
                  <c:v>Coinbase</c:v>
                </c:pt>
              </c:strCache>
            </c:strRef>
          </c:cat>
          <c:val>
            <c:numRef>
              <c:f>市场更新!$R$10:$R$15</c:f>
              <c:numCache>
                <c:formatCode>General</c:formatCode>
                <c:ptCount val="6"/>
                <c:pt idx="0">
                  <c:v>80.08</c:v>
                </c:pt>
                <c:pt idx="1">
                  <c:v>91.14</c:v>
                </c:pt>
                <c:pt idx="2">
                  <c:v>89.5</c:v>
                </c:pt>
                <c:pt idx="3">
                  <c:v>89.21</c:v>
                </c:pt>
                <c:pt idx="4">
                  <c:v>45.18</c:v>
                </c:pt>
                <c:pt idx="5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FD-3742-B429-C65999F24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1708655"/>
        <c:axId val="800504303"/>
      </c:barChart>
      <c:catAx>
        <c:axId val="1101708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504303"/>
        <c:crosses val="autoZero"/>
        <c:auto val="1"/>
        <c:lblAlgn val="ctr"/>
        <c:lblOffset val="100"/>
        <c:noMultiLvlLbl val="0"/>
      </c:catAx>
      <c:valAx>
        <c:axId val="80050430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70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交易总量（</a:t>
            </a:r>
            <a:r>
              <a:rPr lang="en-US" altLang="zh-CN"/>
              <a:t>$M)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交易总量!$B$1</c:f>
              <c:strCache>
                <c:ptCount val="1"/>
                <c:pt idx="0">
                  <c:v>交易总量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交易总量!$A$2:$A$10</c:f>
              <c:numCache>
                <c:formatCode>[$-409]mmm\-yy;@</c:formatCode>
                <c:ptCount val="9"/>
                <c:pt idx="0">
                  <c:v>45017</c:v>
                </c:pt>
                <c:pt idx="1">
                  <c:v>45108</c:v>
                </c:pt>
                <c:pt idx="2">
                  <c:v>45200</c:v>
                </c:pt>
                <c:pt idx="3">
                  <c:v>45292</c:v>
                </c:pt>
                <c:pt idx="4">
                  <c:v>45383</c:v>
                </c:pt>
                <c:pt idx="5">
                  <c:v>45474</c:v>
                </c:pt>
                <c:pt idx="6">
                  <c:v>45566</c:v>
                </c:pt>
                <c:pt idx="7">
                  <c:v>45658</c:v>
                </c:pt>
                <c:pt idx="8">
                  <c:v>45748</c:v>
                </c:pt>
              </c:numCache>
            </c:numRef>
          </c:cat>
          <c:val>
            <c:numRef>
              <c:f>交易总量!$B$2:$B$10</c:f>
              <c:numCache>
                <c:formatCode>#,##0</c:formatCode>
                <c:ptCount val="9"/>
                <c:pt idx="0">
                  <c:v>468.35301900000002</c:v>
                </c:pt>
                <c:pt idx="1">
                  <c:v>3786.4975260000001</c:v>
                </c:pt>
                <c:pt idx="2">
                  <c:v>10851.879293</c:v>
                </c:pt>
                <c:pt idx="3">
                  <c:v>15508.570285</c:v>
                </c:pt>
                <c:pt idx="4">
                  <c:v>17137.148114</c:v>
                </c:pt>
                <c:pt idx="5">
                  <c:v>12267.508674000001</c:v>
                </c:pt>
                <c:pt idx="6">
                  <c:v>19189.480347000001</c:v>
                </c:pt>
                <c:pt idx="7">
                  <c:v>18464.002954</c:v>
                </c:pt>
                <c:pt idx="8">
                  <c:v>19202.927782999999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1-43D5-B4AE-56BD4B444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7792639"/>
        <c:axId val="1287793119"/>
      </c:lineChart>
      <c:dateAx>
        <c:axId val="1287792639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93119"/>
        <c:crosses val="autoZero"/>
        <c:auto val="1"/>
        <c:lblOffset val="100"/>
        <c:baseTimeUnit val="months"/>
      </c:dateAx>
      <c:valAx>
        <c:axId val="128779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9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'ETFpage (2) Archive'!$B$2</c:f>
              <c:strCache>
                <c:ptCount val="1"/>
                <c:pt idx="0">
                  <c:v>美国交易所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'ETFpage (2) Archive'!$A$3:$A$10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'ETFpage (2) Archive'!$B$3:$B$10</c:f>
              <c:numCache>
                <c:formatCode>"$"#,##0_);[Red]\("$"#,##0\)</c:formatCode>
                <c:ptCount val="8"/>
                <c:pt idx="0">
                  <c:v>110970652271</c:v>
                </c:pt>
                <c:pt idx="1">
                  <c:v>225973562768</c:v>
                </c:pt>
                <c:pt idx="2">
                  <c:v>443214024049</c:v>
                </c:pt>
                <c:pt idx="3">
                  <c:v>316114603017</c:v>
                </c:pt>
                <c:pt idx="4">
                  <c:v>256028261587</c:v>
                </c:pt>
                <c:pt idx="5">
                  <c:v>592762651094</c:v>
                </c:pt>
                <c:pt idx="6">
                  <c:v>528981835146</c:v>
                </c:pt>
                <c:pt idx="7">
                  <c:v>349382481841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5-4235-9D7E-18A186CBEE03}"/>
            </c:ext>
          </c:extLst>
        </c:ser>
        <c:ser>
          <c:idx val="1"/>
          <c:order val="1"/>
          <c:tx>
            <c:strRef>
              <c:f>'ETFpage (2) Archive'!$C$2</c:f>
              <c:strCache>
                <c:ptCount val="1"/>
                <c:pt idx="0">
                  <c:v>非美国交易所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'ETFpage (2) Archive'!$A$3:$A$10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'ETFpage (2) Archive'!$C$3:$C$10</c:f>
              <c:numCache>
                <c:formatCode>"$"#,##0_);[Red]\("$"#,##0\)</c:formatCode>
                <c:ptCount val="8"/>
                <c:pt idx="0">
                  <c:v>1234116812292</c:v>
                </c:pt>
                <c:pt idx="1">
                  <c:v>2653355192878</c:v>
                </c:pt>
                <c:pt idx="2">
                  <c:v>5814904479885</c:v>
                </c:pt>
                <c:pt idx="3">
                  <c:v>5270374398705</c:v>
                </c:pt>
                <c:pt idx="4">
                  <c:v>4796241206373</c:v>
                </c:pt>
                <c:pt idx="5">
                  <c:v>9554585156884</c:v>
                </c:pt>
                <c:pt idx="6">
                  <c:v>7785239049815</c:v>
                </c:pt>
                <c:pt idx="7">
                  <c:v>6167128407751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E5-4235-9D7E-18A186CBE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4780976"/>
        <c:axId val="794782896"/>
      </c:barChart>
      <c:lineChart>
        <c:grouping val="standard"/>
        <c:varyColors val="0"/>
        <c:ser>
          <c:idx val="2"/>
          <c:order val="2"/>
          <c:tx>
            <c:strRef>
              <c:f>'ETFpage (2) Archive'!$E$2</c:f>
              <c:strCache>
                <c:ptCount val="1"/>
                <c:pt idx="0">
                  <c:v>美国%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'ETFpage (2) Archive'!$A$3:$A$10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'ETFpage (2) Archive'!$E$3:$E$10</c:f>
              <c:numCache>
                <c:formatCode>0.0%</c:formatCode>
                <c:ptCount val="8"/>
                <c:pt idx="0">
                  <c:v>8.9919083157862068E-2</c:v>
                </c:pt>
                <c:pt idx="1">
                  <c:v>8.5165213980603366E-2</c:v>
                </c:pt>
                <c:pt idx="2">
                  <c:v>7.6220344733464188E-2</c:v>
                </c:pt>
                <c:pt idx="3">
                  <c:v>5.9979534488986873E-2</c:v>
                </c:pt>
                <c:pt idx="4">
                  <c:v>5.3381022882419416E-2</c:v>
                </c:pt>
                <c:pt idx="5">
                  <c:v>6.2039601025160089E-2</c:v>
                </c:pt>
                <c:pt idx="6">
                  <c:v>6.7946768462886206E-2</c:v>
                </c:pt>
                <c:pt idx="7">
                  <c:v>5.6652376720725879E-2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E5-4235-9D7E-18A186CBE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773776"/>
        <c:axId val="794785776"/>
      </c:lineChart>
      <c:dateAx>
        <c:axId val="79478097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82896"/>
        <c:crosses val="autoZero"/>
        <c:auto val="1"/>
        <c:lblOffset val="100"/>
        <c:baseTimeUnit val="months"/>
        <c:majorUnit val="3"/>
        <c:majorTimeUnit val="months"/>
      </c:dateAx>
      <c:valAx>
        <c:axId val="7947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80976"/>
        <c:crosses val="autoZero"/>
        <c:crossBetween val="between"/>
        <c:dispUnits>
          <c:builtInUnit val="tr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79478577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73776"/>
        <c:crosses val="max"/>
        <c:crossBetween val="between"/>
      </c:valAx>
      <c:dateAx>
        <c:axId val="7947737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9478577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946592377173019E-2"/>
          <c:y val="4.1401263503369402E-2"/>
          <c:w val="0.86367082333285627"/>
          <c:h val="0.7690965522101027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'ETFpage (2) Archive'!$B$2</c:f>
              <c:strCache>
                <c:ptCount val="1"/>
                <c:pt idx="0">
                  <c:v>美国交易所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'ETFpage (2) Archive'!$A$3:$A$10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'ETFpage (2) Archive'!$B$3:$B$10</c:f>
              <c:numCache>
                <c:formatCode>"$"#,##0_);[Red]\("$"#,##0\)</c:formatCode>
                <c:ptCount val="8"/>
                <c:pt idx="0">
                  <c:v>110970652271</c:v>
                </c:pt>
                <c:pt idx="1">
                  <c:v>225973562768</c:v>
                </c:pt>
                <c:pt idx="2">
                  <c:v>443214024049</c:v>
                </c:pt>
                <c:pt idx="3">
                  <c:v>316114603017</c:v>
                </c:pt>
                <c:pt idx="4">
                  <c:v>256028261587</c:v>
                </c:pt>
                <c:pt idx="5">
                  <c:v>592762651094</c:v>
                </c:pt>
                <c:pt idx="6">
                  <c:v>528981835146</c:v>
                </c:pt>
                <c:pt idx="7">
                  <c:v>349382481841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2-41A2-B88D-E949E31A12A4}"/>
            </c:ext>
          </c:extLst>
        </c:ser>
        <c:ser>
          <c:idx val="3"/>
          <c:order val="3"/>
          <c:tx>
            <c:strRef>
              <c:f>'ETFpage (2) Archive'!$M$2</c:f>
              <c:strCache>
                <c:ptCount val="1"/>
                <c:pt idx="0">
                  <c:v>ETF交易量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'ETFpage (2) Archive'!$M$3:$M$10</c:f>
              <c:numCache>
                <c:formatCode>General</c:formatCode>
                <c:ptCount val="8"/>
                <c:pt idx="3" formatCode="0">
                  <c:v>71720000000</c:v>
                </c:pt>
                <c:pt idx="4" formatCode="0">
                  <c:v>105900000000</c:v>
                </c:pt>
                <c:pt idx="5" formatCode="0">
                  <c:v>223000000000</c:v>
                </c:pt>
                <c:pt idx="6" formatCode="0">
                  <c:v>194000000000</c:v>
                </c:pt>
                <c:pt idx="7">
                  <c:v>198000000000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32-41A2-B88D-E949E31A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50048272"/>
        <c:axId val="85004923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'ETFpage (2) Archive'!$F$2</c15:sqref>
                        </c15:formulaRef>
                      </c:ext>
                    </c:extLst>
                    <c:strCache>
                      <c:ptCount val="1"/>
                      <c:pt idx="0">
                        <c:v>BTCETF交易量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'ETFpage (2) Archive'!$A$3:$A$10</c15:sqref>
                        </c15:formulaRef>
                      </c:ext>
                    </c:extLst>
                    <c:numCache>
                      <c:formatCode>m/d/yyyy</c:formatCode>
                      <c:ptCount val="8"/>
                      <c:pt idx="0">
                        <c:v>45108</c:v>
                      </c:pt>
                      <c:pt idx="1">
                        <c:v>45200</c:v>
                      </c:pt>
                      <c:pt idx="2">
                        <c:v>45292</c:v>
                      </c:pt>
                      <c:pt idx="3">
                        <c:v>45383</c:v>
                      </c:pt>
                      <c:pt idx="4">
                        <c:v>45474</c:v>
                      </c:pt>
                      <c:pt idx="5">
                        <c:v>45566</c:v>
                      </c:pt>
                      <c:pt idx="6">
                        <c:v>45658</c:v>
                      </c:pt>
                      <c:pt idx="7">
                        <c:v>45748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'ETFpage (2) Archive'!$F$3:$F$10</c15:sqref>
                        </c15:formulaRef>
                      </c:ext>
                    </c:extLst>
                    <c:numCache>
                      <c:formatCode>0.0%</c:formatCode>
                      <c:ptCount val="8"/>
                      <c:pt idx="2" formatCode="0.0">
                        <c:v>7690000000</c:v>
                      </c:pt>
                      <c:pt idx="3" formatCode="0.0">
                        <c:v>176940000000</c:v>
                      </c:pt>
                      <c:pt idx="4" formatCode="0.0">
                        <c:v>130290000000</c:v>
                      </c:pt>
                      <c:pt idx="5" formatCode="0.0">
                        <c:v>106110000000</c:v>
                      </c:pt>
                      <c:pt idx="6" formatCode="0.0">
                        <c:v>224970000000</c:v>
                      </c:pt>
                      <c:pt idx="7" formatCode="0.0">
                        <c:v>191280000000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232-41A2-B88D-E949E31A12A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'ETFpage (2) Archive'!$N$2</c:f>
              <c:strCache>
                <c:ptCount val="1"/>
                <c:pt idx="0">
                  <c:v>ETF%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'ETFpage (2) Archive'!$N$3:$N$10</c:f>
              <c:numCache>
                <c:formatCode>0%</c:formatCode>
                <c:ptCount val="8"/>
                <c:pt idx="3">
                  <c:v>0.22687974334467251</c:v>
                </c:pt>
                <c:pt idx="4">
                  <c:v>0.41362621197978378</c:v>
                </c:pt>
                <c:pt idx="5">
                  <c:v>0.3762045391834864</c:v>
                </c:pt>
                <c:pt idx="6">
                  <c:v>0.36674227187112318</c:v>
                </c:pt>
                <c:pt idx="7">
                  <c:v>0.566714160815045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32-41A2-B88D-E949E31A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80304"/>
        <c:axId val="16507982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'ETFpage (2) Archive'!$H$2</c15:sqref>
                        </c15:formulaRef>
                      </c:ext>
                    </c:extLst>
                    <c:strCache>
                      <c:ptCount val="1"/>
                      <c:pt idx="0">
                        <c:v>ETF%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'ETFpage (2) Archive'!$A$3:$A$10</c15:sqref>
                        </c15:formulaRef>
                      </c:ext>
                    </c:extLst>
                    <c:numCache>
                      <c:formatCode>m/d/yyyy</c:formatCode>
                      <c:ptCount val="8"/>
                      <c:pt idx="0">
                        <c:v>45108</c:v>
                      </c:pt>
                      <c:pt idx="1">
                        <c:v>45200</c:v>
                      </c:pt>
                      <c:pt idx="2">
                        <c:v>45292</c:v>
                      </c:pt>
                      <c:pt idx="3">
                        <c:v>45383</c:v>
                      </c:pt>
                      <c:pt idx="4">
                        <c:v>45474</c:v>
                      </c:pt>
                      <c:pt idx="5">
                        <c:v>45566</c:v>
                      </c:pt>
                      <c:pt idx="6">
                        <c:v>45658</c:v>
                      </c:pt>
                      <c:pt idx="7">
                        <c:v>45748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'ETFpage (2) Archive'!$H$3:$H$10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2" formatCode="0.0%">
                        <c:v>1.7350534014577625E-2</c:v>
                      </c:pt>
                      <c:pt idx="3" formatCode="0.0%">
                        <c:v>0.55973371148084716</c:v>
                      </c:pt>
                      <c:pt idx="4" formatCode="0.0%">
                        <c:v>0.50888913275586434</c:v>
                      </c:pt>
                      <c:pt idx="5" formatCode="0.0%">
                        <c:v>0.17900925404824997</c:v>
                      </c:pt>
                      <c:pt idx="6" formatCode="0.0%">
                        <c:v>0.42528870568477622</c:v>
                      </c:pt>
                      <c:pt idx="7" formatCode="0.0%">
                        <c:v>0.54748022566011012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232-41A2-B88D-E949E31A12A4}"/>
                  </c:ext>
                </c:extLst>
              </c15:ser>
            </c15:filteredLineSeries>
          </c:ext>
        </c:extLst>
      </c:lineChart>
      <c:dateAx>
        <c:axId val="85004827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49232"/>
        <c:crosses val="autoZero"/>
        <c:auto val="1"/>
        <c:lblOffset val="100"/>
        <c:baseTimeUnit val="months"/>
      </c:dateAx>
      <c:valAx>
        <c:axId val="85004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48272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6507982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0304"/>
        <c:crosses val="max"/>
        <c:crossBetween val="between"/>
      </c:valAx>
      <c:catAx>
        <c:axId val="165080304"/>
        <c:scaling>
          <c:orientation val="minMax"/>
        </c:scaling>
        <c:delete val="1"/>
        <c:axPos val="b"/>
        <c:majorTickMark val="out"/>
        <c:minorTickMark val="none"/>
        <c:tickLblPos val="nextTo"/>
        <c:crossAx val="1650798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'ETFpage (2) Archive'!$B$36</c:f>
              <c:strCache>
                <c:ptCount val="1"/>
                <c:pt idx="0">
                  <c:v>Coinbase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'ETFpage (2) Archive'!$A$37:$A$42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'ETFpage (2) Archive'!$B$37:$B$42</c:f>
              <c:numCache>
                <c:formatCode>"$"#,##0_);[Red]\("$"#,##0\)</c:formatCode>
                <c:ptCount val="6"/>
                <c:pt idx="0">
                  <c:v>301439233806</c:v>
                </c:pt>
                <c:pt idx="1">
                  <c:v>217603673825</c:v>
                </c:pt>
                <c:pt idx="2">
                  <c:v>180044297955</c:v>
                </c:pt>
                <c:pt idx="3">
                  <c:v>438326766278</c:v>
                </c:pt>
                <c:pt idx="4">
                  <c:v>387789140611</c:v>
                </c:pt>
                <c:pt idx="5">
                  <c:v>226072927981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C-4E3D-98AF-A4BB41ECD1E3}"/>
            </c:ext>
          </c:extLst>
        </c:ser>
        <c:ser>
          <c:idx val="1"/>
          <c:order val="1"/>
          <c:tx>
            <c:strRef>
              <c:f>'ETFpage (2) Archive'!$C$36</c:f>
              <c:strCache>
                <c:ptCount val="1"/>
                <c:pt idx="0">
                  <c:v>Kraken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'ETFpage (2) Archive'!$A$37:$A$42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'ETFpage (2) Archive'!$C$37:$C$42</c:f>
              <c:numCache>
                <c:formatCode>"$"#,##0_);[Red]\("$"#,##0\)</c:formatCode>
                <c:ptCount val="6"/>
                <c:pt idx="0">
                  <c:v>104476290281</c:v>
                </c:pt>
                <c:pt idx="1">
                  <c:v>71162990463</c:v>
                </c:pt>
                <c:pt idx="2">
                  <c:v>60932580909</c:v>
                </c:pt>
                <c:pt idx="3">
                  <c:v>127032858600</c:v>
                </c:pt>
                <c:pt idx="4">
                  <c:v>116139474265</c:v>
                </c:pt>
                <c:pt idx="5">
                  <c:v>94124505869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BC-4E3D-98AF-A4BB41ECD1E3}"/>
            </c:ext>
          </c:extLst>
        </c:ser>
        <c:ser>
          <c:idx val="2"/>
          <c:order val="2"/>
          <c:tx>
            <c:strRef>
              <c:f>'ETFpage (2) Archive'!$E$36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'ETFpage (2) Archive'!$A$37:$A$42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'ETFpage (2) Archive'!$E$37:$E$42</c:f>
              <c:numCache>
                <c:formatCode>"$"#,##0_);[Red]\("$"#,##0\)</c:formatCode>
                <c:ptCount val="6"/>
                <c:pt idx="0">
                  <c:v>7088193395</c:v>
                </c:pt>
                <c:pt idx="1">
                  <c:v>6102184978</c:v>
                </c:pt>
                <c:pt idx="2">
                  <c:v>5615364348</c:v>
                </c:pt>
                <c:pt idx="3">
                  <c:v>13859096144</c:v>
                </c:pt>
                <c:pt idx="4">
                  <c:v>12837127289</c:v>
                </c:pt>
                <c:pt idx="5">
                  <c:v>17905669673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BC-4E3D-98AF-A4BB41ECD1E3}"/>
            </c:ext>
          </c:extLst>
        </c:ser>
        <c:ser>
          <c:idx val="3"/>
          <c:order val="3"/>
          <c:tx>
            <c:strRef>
              <c:f>'ETFpage (2) Archive'!$F$36</c:f>
              <c:strCache>
                <c:ptCount val="1"/>
                <c:pt idx="0">
                  <c:v>bitFlyer 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'ETFpage (2) Archive'!$A$37:$A$42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'ETFpage (2) Archive'!$F$37:$F$42</c:f>
              <c:numCache>
                <c:formatCode>"$"#,##0_);[Red]\("$"#,##0\)</c:formatCode>
                <c:ptCount val="6"/>
                <c:pt idx="0">
                  <c:v>5709846866</c:v>
                </c:pt>
                <c:pt idx="1">
                  <c:v>7501134872</c:v>
                </c:pt>
                <c:pt idx="2">
                  <c:v>7265082391</c:v>
                </c:pt>
                <c:pt idx="3">
                  <c:v>9344414176</c:v>
                </c:pt>
                <c:pt idx="4">
                  <c:v>9002417938</c:v>
                </c:pt>
                <c:pt idx="5">
                  <c:v>7194082446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BC-4E3D-98AF-A4BB41ECD1E3}"/>
            </c:ext>
          </c:extLst>
        </c:ser>
        <c:ser>
          <c:idx val="4"/>
          <c:order val="4"/>
          <c:tx>
            <c:strRef>
              <c:f>'ETFpage (2) Archive'!$M$2</c:f>
              <c:strCache>
                <c:ptCount val="1"/>
                <c:pt idx="0">
                  <c:v>ETF交易量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'ETFpage (2) Archive'!$A$37:$A$42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'ETFpage (2) Archive'!$M$5:$M$10</c:f>
              <c:numCache>
                <c:formatCode>0</c:formatCode>
                <c:ptCount val="6"/>
                <c:pt idx="1">
                  <c:v>71720000000</c:v>
                </c:pt>
                <c:pt idx="2">
                  <c:v>105900000000</c:v>
                </c:pt>
                <c:pt idx="3">
                  <c:v>223000000000</c:v>
                </c:pt>
                <c:pt idx="4">
                  <c:v>194000000000</c:v>
                </c:pt>
                <c:pt idx="5" formatCode="General">
                  <c:v>198000000000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BC-4E3D-98AF-A4BB41ECD1E3}"/>
            </c:ext>
          </c:extLst>
        </c:ser>
        <c:ser>
          <c:idx val="5"/>
          <c:order val="5"/>
          <c:tx>
            <c:strRef>
              <c:f>'ETFpage (2) Archive'!$G$36</c:f>
              <c:strCache>
                <c:ptCount val="1"/>
                <c:pt idx="0">
                  <c:v>Robinhood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'ETFpage (2) Archive'!$G$37:$G$42</c:f>
              <c:numCache>
                <c:formatCode>"$"#,##0_);[Red]\("$"#,##0\)</c:formatCode>
                <c:ptCount val="6"/>
                <c:pt idx="0">
                  <c:v>17750000000</c:v>
                </c:pt>
                <c:pt idx="1">
                  <c:v>21500000000</c:v>
                </c:pt>
                <c:pt idx="2">
                  <c:v>14400000000</c:v>
                </c:pt>
                <c:pt idx="3">
                  <c:v>71000000000</c:v>
                </c:pt>
                <c:pt idx="4">
                  <c:v>46000000000</c:v>
                </c:pt>
                <c:pt idx="5" formatCode="General">
                  <c:v>35000000000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BC-4E3D-98AF-A4BB41ECD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5970240"/>
        <c:axId val="695971200"/>
      </c:barChart>
      <c:dateAx>
        <c:axId val="69597024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71200"/>
        <c:crosses val="autoZero"/>
        <c:auto val="1"/>
        <c:lblOffset val="100"/>
        <c:baseTimeUnit val="months"/>
      </c:dateAx>
      <c:valAx>
        <c:axId val="6959712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70240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'ETFpage (2) Archive'!$B$36</c:f>
              <c:strCache>
                <c:ptCount val="1"/>
                <c:pt idx="0">
                  <c:v>Coinbase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'ETFpage (2) Archive'!$A$37:$A$42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'ETFpage (2) Archive'!$B$37:$B$42</c:f>
              <c:numCache>
                <c:formatCode>"$"#,##0_);[Red]\("$"#,##0\)</c:formatCode>
                <c:ptCount val="6"/>
                <c:pt idx="0">
                  <c:v>301439233806</c:v>
                </c:pt>
                <c:pt idx="1">
                  <c:v>217603673825</c:v>
                </c:pt>
                <c:pt idx="2">
                  <c:v>180044297955</c:v>
                </c:pt>
                <c:pt idx="3">
                  <c:v>438326766278</c:v>
                </c:pt>
                <c:pt idx="4">
                  <c:v>387789140611</c:v>
                </c:pt>
                <c:pt idx="5">
                  <c:v>226072927981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E-4952-B688-7AED861B18E5}"/>
            </c:ext>
          </c:extLst>
        </c:ser>
        <c:ser>
          <c:idx val="1"/>
          <c:order val="1"/>
          <c:tx>
            <c:strRef>
              <c:f>'ETFpage (2) Archive'!$C$36</c:f>
              <c:strCache>
                <c:ptCount val="1"/>
                <c:pt idx="0">
                  <c:v>Kraken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'ETFpage (2) Archive'!$A$37:$A$42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'ETFpage (2) Archive'!$C$37:$C$42</c:f>
              <c:numCache>
                <c:formatCode>"$"#,##0_);[Red]\("$"#,##0\)</c:formatCode>
                <c:ptCount val="6"/>
                <c:pt idx="0">
                  <c:v>104476290281</c:v>
                </c:pt>
                <c:pt idx="1">
                  <c:v>71162990463</c:v>
                </c:pt>
                <c:pt idx="2">
                  <c:v>60932580909</c:v>
                </c:pt>
                <c:pt idx="3">
                  <c:v>127032858600</c:v>
                </c:pt>
                <c:pt idx="4">
                  <c:v>116139474265</c:v>
                </c:pt>
                <c:pt idx="5">
                  <c:v>94124505869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E-4952-B688-7AED861B18E5}"/>
            </c:ext>
          </c:extLst>
        </c:ser>
        <c:ser>
          <c:idx val="2"/>
          <c:order val="2"/>
          <c:tx>
            <c:strRef>
              <c:f>'ETFpage (2) Archive'!$E$36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'ETFpage (2) Archive'!$A$37:$A$42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'ETFpage (2) Archive'!$E$37:$E$42</c:f>
              <c:numCache>
                <c:formatCode>"$"#,##0_);[Red]\("$"#,##0\)</c:formatCode>
                <c:ptCount val="6"/>
                <c:pt idx="0">
                  <c:v>7088193395</c:v>
                </c:pt>
                <c:pt idx="1">
                  <c:v>6102184978</c:v>
                </c:pt>
                <c:pt idx="2">
                  <c:v>5615364348</c:v>
                </c:pt>
                <c:pt idx="3">
                  <c:v>13859096144</c:v>
                </c:pt>
                <c:pt idx="4">
                  <c:v>12837127289</c:v>
                </c:pt>
                <c:pt idx="5">
                  <c:v>17905669673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4E-4952-B688-7AED861B18E5}"/>
            </c:ext>
          </c:extLst>
        </c:ser>
        <c:ser>
          <c:idx val="3"/>
          <c:order val="3"/>
          <c:tx>
            <c:strRef>
              <c:f>'ETFpage (2) Archive'!$F$36</c:f>
              <c:strCache>
                <c:ptCount val="1"/>
                <c:pt idx="0">
                  <c:v>bitFlyer 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'ETFpage (2) Archive'!$A$37:$A$42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'ETFpage (2) Archive'!$F$37:$F$42</c:f>
              <c:numCache>
                <c:formatCode>"$"#,##0_);[Red]\("$"#,##0\)</c:formatCode>
                <c:ptCount val="6"/>
                <c:pt idx="0">
                  <c:v>5709846866</c:v>
                </c:pt>
                <c:pt idx="1">
                  <c:v>7501134872</c:v>
                </c:pt>
                <c:pt idx="2">
                  <c:v>7265082391</c:v>
                </c:pt>
                <c:pt idx="3">
                  <c:v>9344414176</c:v>
                </c:pt>
                <c:pt idx="4">
                  <c:v>9002417938</c:v>
                </c:pt>
                <c:pt idx="5">
                  <c:v>7194082446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4E-4952-B688-7AED861B18E5}"/>
            </c:ext>
          </c:extLst>
        </c:ser>
        <c:ser>
          <c:idx val="4"/>
          <c:order val="4"/>
          <c:tx>
            <c:strRef>
              <c:f>'ETFpage (2) Archive'!$G$36</c:f>
              <c:strCache>
                <c:ptCount val="1"/>
                <c:pt idx="0">
                  <c:v>Robinhood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'ETFpage (2) Archive'!$A$37:$A$42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'ETFpage (2) Archive'!$G$37:$G$42</c:f>
              <c:numCache>
                <c:formatCode>"$"#,##0_);[Red]\("$"#,##0\)</c:formatCode>
                <c:ptCount val="6"/>
                <c:pt idx="0">
                  <c:v>17750000000</c:v>
                </c:pt>
                <c:pt idx="1">
                  <c:v>21500000000</c:v>
                </c:pt>
                <c:pt idx="2">
                  <c:v>14400000000</c:v>
                </c:pt>
                <c:pt idx="3">
                  <c:v>71000000000</c:v>
                </c:pt>
                <c:pt idx="4">
                  <c:v>46000000000</c:v>
                </c:pt>
                <c:pt idx="5" formatCode="General">
                  <c:v>35000000000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4E-4952-B688-7AED861B18E5}"/>
            </c:ext>
          </c:extLst>
        </c:ser>
        <c:ser>
          <c:idx val="5"/>
          <c:order val="5"/>
          <c:tx>
            <c:strRef>
              <c:f>'ETFpage (2) Archive'!$H$36</c:f>
              <c:strCache>
                <c:ptCount val="1"/>
                <c:pt idx="0">
                  <c:v>ETF交易量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'ETFpage (2) Archive'!$A$37:$A$42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'ETFpage (2) Archive'!$H$37:$H$42</c:f>
              <c:numCache>
                <c:formatCode>"$"#,##0_);[Red]\("$"#,##0\)</c:formatCode>
                <c:ptCount val="6"/>
                <c:pt idx="0">
                  <c:v>0</c:v>
                </c:pt>
                <c:pt idx="1">
                  <c:v>71720000000</c:v>
                </c:pt>
                <c:pt idx="2">
                  <c:v>105900000000</c:v>
                </c:pt>
                <c:pt idx="3">
                  <c:v>223000000000</c:v>
                </c:pt>
                <c:pt idx="4">
                  <c:v>194000000000</c:v>
                </c:pt>
                <c:pt idx="5">
                  <c:v>198000000000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4E-4952-B688-7AED861B1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9415200"/>
        <c:axId val="809412320"/>
      </c:barChart>
      <c:dateAx>
        <c:axId val="80941520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12320"/>
        <c:crosses val="autoZero"/>
        <c:auto val="1"/>
        <c:lblOffset val="100"/>
        <c:baseTimeUnit val="months"/>
        <c:majorUnit val="3"/>
        <c:majorTimeUnit val="months"/>
      </c:dateAx>
      <c:valAx>
        <c:axId val="8094123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1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946592377173019E-2"/>
          <c:y val="4.1401263503369402E-2"/>
          <c:w val="0.86367082333285627"/>
          <c:h val="0.7690965522101027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'ETFpage (2) Archive'!$D$2</c:f>
              <c:strCache>
                <c:ptCount val="1"/>
                <c:pt idx="0">
                  <c:v>总交易量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'ETFpage (2) Archive'!$A$3:$A$10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'ETFpage (2) Archive'!$D$3:$D$10</c:f>
              <c:numCache>
                <c:formatCode>"$"#,##0_);[Red]\("$"#,##0\)</c:formatCode>
                <c:ptCount val="8"/>
                <c:pt idx="0">
                  <c:v>1345087464563</c:v>
                </c:pt>
                <c:pt idx="1">
                  <c:v>2879328755646</c:v>
                </c:pt>
                <c:pt idx="2">
                  <c:v>6258118503934</c:v>
                </c:pt>
                <c:pt idx="3">
                  <c:v>5586489001722</c:v>
                </c:pt>
                <c:pt idx="4">
                  <c:v>5052269467960</c:v>
                </c:pt>
                <c:pt idx="5">
                  <c:v>10147347807978</c:v>
                </c:pt>
                <c:pt idx="6">
                  <c:v>8314220884961</c:v>
                </c:pt>
                <c:pt idx="7">
                  <c:v>6516510889592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F10-4DEC-981B-E20B9ECB9CD2}"/>
            </c:ext>
          </c:extLst>
        </c:ser>
        <c:ser>
          <c:idx val="3"/>
          <c:order val="1"/>
          <c:tx>
            <c:strRef>
              <c:f>'ETFpage (2) Archive'!$M$2</c:f>
              <c:strCache>
                <c:ptCount val="1"/>
                <c:pt idx="0">
                  <c:v>ETF交易量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'ETFpage (2) Archive'!$A$3:$A$10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'ETFpage (2) Archive'!$M$3:$M$10</c:f>
              <c:numCache>
                <c:formatCode>General</c:formatCode>
                <c:ptCount val="8"/>
                <c:pt idx="3" formatCode="0">
                  <c:v>71720000000</c:v>
                </c:pt>
                <c:pt idx="4" formatCode="0">
                  <c:v>105900000000</c:v>
                </c:pt>
                <c:pt idx="5" formatCode="0">
                  <c:v>223000000000</c:v>
                </c:pt>
                <c:pt idx="6" formatCode="0">
                  <c:v>194000000000</c:v>
                </c:pt>
                <c:pt idx="7">
                  <c:v>198000000000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F10-4DEC-981B-E20B9ECB9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50048272"/>
        <c:axId val="850049232"/>
        <c:extLst/>
      </c:barChart>
      <c:lineChart>
        <c:grouping val="standard"/>
        <c:varyColors val="0"/>
        <c:ser>
          <c:idx val="4"/>
          <c:order val="2"/>
          <c:tx>
            <c:strRef>
              <c:f>'ETFpage (2) Archive'!$O$2</c:f>
              <c:strCache>
                <c:ptCount val="1"/>
                <c:pt idx="0">
                  <c:v>ETF % of Global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'ETFpage (2) Archive'!$A$3:$A$10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'ETFpage (2) Archive'!$O$3:$O$10</c:f>
              <c:numCache>
                <c:formatCode>General</c:formatCode>
                <c:ptCount val="8"/>
                <c:pt idx="3" formatCode="0.0%">
                  <c:v>1.2838117103227584E-2</c:v>
                </c:pt>
                <c:pt idx="4" formatCode="0.0%">
                  <c:v>2.0960877219947691E-2</c:v>
                </c:pt>
                <c:pt idx="5" formatCode="0.0%">
                  <c:v>2.1976185720634703E-2</c:v>
                </c:pt>
                <c:pt idx="6" formatCode="0.0%">
                  <c:v>2.3333515272719388E-2</c:v>
                </c:pt>
                <c:pt idx="7" formatCode="0.0%">
                  <c:v>3.0384358033720221E-2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F10-4DEC-981B-E20B9ECB9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80304"/>
        <c:axId val="165079824"/>
        <c:extLst/>
      </c:lineChart>
      <c:dateAx>
        <c:axId val="85004827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49232"/>
        <c:crosses val="autoZero"/>
        <c:auto val="1"/>
        <c:lblOffset val="100"/>
        <c:baseTimeUnit val="months"/>
      </c:dateAx>
      <c:valAx>
        <c:axId val="85004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48272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6507982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0304"/>
        <c:crosses val="max"/>
        <c:crossBetween val="between"/>
      </c:valAx>
      <c:dateAx>
        <c:axId val="1650803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5079824"/>
        <c:crosses val="autoZero"/>
        <c:auto val="1"/>
        <c:lblOffset val="100"/>
        <c:baseTimeUnit val="months"/>
      </c:date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'ETFpage (2) Archive'!$P$2</c:f>
              <c:strCache>
                <c:ptCount val="1"/>
                <c:pt idx="0">
                  <c:v>BTC ETF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'ETFpage (2) Archive'!$A$6:$A$10</c:f>
              <c:numCache>
                <c:formatCode>m/d/yyyy</c:formatCode>
                <c:ptCount val="5"/>
                <c:pt idx="0">
                  <c:v>45383</c:v>
                </c:pt>
                <c:pt idx="1">
                  <c:v>45474</c:v>
                </c:pt>
                <c:pt idx="2">
                  <c:v>45566</c:v>
                </c:pt>
                <c:pt idx="3">
                  <c:v>45658</c:v>
                </c:pt>
                <c:pt idx="4">
                  <c:v>45748</c:v>
                </c:pt>
              </c:numCache>
            </c:numRef>
          </c:cat>
          <c:val>
            <c:numRef>
              <c:f>'ETFpage (2) Archive'!$P$6:$P$10</c:f>
              <c:numCache>
                <c:formatCode>General</c:formatCode>
                <c:ptCount val="5"/>
                <c:pt idx="0">
                  <c:v>858000000</c:v>
                </c:pt>
                <c:pt idx="1">
                  <c:v>12047000000</c:v>
                </c:pt>
                <c:pt idx="2">
                  <c:v>14656000000</c:v>
                </c:pt>
                <c:pt idx="3">
                  <c:v>18623000000</c:v>
                </c:pt>
                <c:pt idx="4">
                  <c:v>35000000000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0-4E33-AB0A-46C8C6686F6C}"/>
            </c:ext>
          </c:extLst>
        </c:ser>
        <c:ser>
          <c:idx val="1"/>
          <c:order val="1"/>
          <c:tx>
            <c:strRef>
              <c:f>'ETFpage (2) Archive'!$R$2</c:f>
              <c:strCache>
                <c:ptCount val="1"/>
                <c:pt idx="0">
                  <c:v>ETH ETF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'ETFpage (2) Archive'!$A$6:$A$10</c:f>
              <c:numCache>
                <c:formatCode>m/d/yyyy</c:formatCode>
                <c:ptCount val="5"/>
                <c:pt idx="0">
                  <c:v>45383</c:v>
                </c:pt>
                <c:pt idx="1">
                  <c:v>45474</c:v>
                </c:pt>
                <c:pt idx="2">
                  <c:v>45566</c:v>
                </c:pt>
                <c:pt idx="3">
                  <c:v>45658</c:v>
                </c:pt>
                <c:pt idx="4">
                  <c:v>45748</c:v>
                </c:pt>
              </c:numCache>
            </c:numRef>
          </c:cat>
          <c:val>
            <c:numRef>
              <c:f>'ETFpage (2) Archive'!$R$6:$R$10</c:f>
              <c:numCache>
                <c:formatCode>General</c:formatCode>
                <c:ptCount val="5"/>
                <c:pt idx="2">
                  <c:v>-520000000</c:v>
                </c:pt>
                <c:pt idx="3">
                  <c:v>2500000000</c:v>
                </c:pt>
                <c:pt idx="4">
                  <c:v>4269999999.9999995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40-4E33-AB0A-46C8C6686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3513855"/>
        <c:axId val="873522015"/>
      </c:barChart>
      <c:dateAx>
        <c:axId val="873513855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522015"/>
        <c:crosses val="autoZero"/>
        <c:auto val="1"/>
        <c:lblOffset val="100"/>
        <c:baseTimeUnit val="months"/>
      </c:dateAx>
      <c:valAx>
        <c:axId val="87352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513855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Traffic Share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Sheet8!$A$2:$A$6</c:f>
              <c:strCache>
                <c:ptCount val="5"/>
                <c:pt idx="0">
                  <c:v>Robinhood</c:v>
                </c:pt>
                <c:pt idx="1">
                  <c:v>Gemini</c:v>
                </c:pt>
                <c:pt idx="2">
                  <c:v>Coinbase</c:v>
                </c:pt>
                <c:pt idx="3">
                  <c:v>Crypto.com</c:v>
                </c:pt>
                <c:pt idx="4">
                  <c:v>Kraken</c:v>
                </c:pt>
              </c:strCache>
            </c:strRef>
          </c:cat>
          <c:val>
            <c:numRef>
              <c:f>Sheet8!$B$2:$B$6</c:f>
              <c:numCache>
                <c:formatCode>General</c:formatCode>
                <c:ptCount val="5"/>
                <c:pt idx="0">
                  <c:v>95.7</c:v>
                </c:pt>
                <c:pt idx="1">
                  <c:v>80.099999999999994</c:v>
                </c:pt>
                <c:pt idx="2">
                  <c:v>70.2</c:v>
                </c:pt>
                <c:pt idx="3">
                  <c:v>41.8</c:v>
                </c:pt>
                <c:pt idx="4">
                  <c:v>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F-4044-89EA-09D7543A73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9845392"/>
        <c:axId val="309844912"/>
      </c:barChart>
      <c:catAx>
        <c:axId val="30984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844912"/>
        <c:crosses val="autoZero"/>
        <c:auto val="1"/>
        <c:lblAlgn val="ctr"/>
        <c:lblOffset val="100"/>
        <c:noMultiLvlLbl val="0"/>
      </c:catAx>
      <c:valAx>
        <c:axId val="3098449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30984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ETFpage!$B$2</c:f>
              <c:strCache>
                <c:ptCount val="1"/>
                <c:pt idx="0">
                  <c:v>美国交易所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ETFpage!$A$3:$A$10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ETFpage!$B$3:$B$10</c:f>
              <c:numCache>
                <c:formatCode>"$"#,##0_);[Red]\("$"#,##0\)</c:formatCode>
                <c:ptCount val="8"/>
                <c:pt idx="0">
                  <c:v>778247435480</c:v>
                </c:pt>
                <c:pt idx="1">
                  <c:v>1487101330221</c:v>
                </c:pt>
                <c:pt idx="2">
                  <c:v>3313730724690</c:v>
                </c:pt>
                <c:pt idx="3">
                  <c:v>2889366004478</c:v>
                </c:pt>
                <c:pt idx="4">
                  <c:v>2286013728990</c:v>
                </c:pt>
                <c:pt idx="5">
                  <c:v>4224650773541</c:v>
                </c:pt>
                <c:pt idx="6">
                  <c:v>3491674737438</c:v>
                </c:pt>
                <c:pt idx="7">
                  <c:v>2444943062485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C-486E-9E55-35CB82C1358A}"/>
            </c:ext>
          </c:extLst>
        </c:ser>
        <c:ser>
          <c:idx val="1"/>
          <c:order val="1"/>
          <c:tx>
            <c:strRef>
              <c:f>ETFpage!$C$2</c:f>
              <c:strCache>
                <c:ptCount val="1"/>
                <c:pt idx="0">
                  <c:v>非美国交易所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ETFpage!$A$3:$A$10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ETFpage!$C$3:$C$10</c:f>
              <c:numCache>
                <c:formatCode>"$"#,##0_);[Red]\("$"#,##0\)</c:formatCode>
                <c:ptCount val="8"/>
                <c:pt idx="0">
                  <c:v>684300358438</c:v>
                </c:pt>
                <c:pt idx="1">
                  <c:v>1392227425424</c:v>
                </c:pt>
                <c:pt idx="2">
                  <c:v>2944387779244</c:v>
                </c:pt>
                <c:pt idx="3">
                  <c:v>2702351764986</c:v>
                </c:pt>
                <c:pt idx="4">
                  <c:v>2771888499313</c:v>
                </c:pt>
                <c:pt idx="5">
                  <c:v>5935321532737</c:v>
                </c:pt>
                <c:pt idx="6">
                  <c:v>4832402065068</c:v>
                </c:pt>
                <c:pt idx="7">
                  <c:v>4079201802443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C-486E-9E55-35CB82C13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4780976"/>
        <c:axId val="794782896"/>
      </c:barChart>
      <c:lineChart>
        <c:grouping val="standard"/>
        <c:varyColors val="0"/>
        <c:ser>
          <c:idx val="2"/>
          <c:order val="2"/>
          <c:tx>
            <c:strRef>
              <c:f>ETFpage!$E$2</c:f>
              <c:strCache>
                <c:ptCount val="1"/>
                <c:pt idx="0">
                  <c:v>美国%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ETFpage!$A$3:$A$10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ETFpage!$E$3:$E$10</c:f>
              <c:numCache>
                <c:formatCode>0.0%</c:formatCode>
                <c:ptCount val="8"/>
                <c:pt idx="0">
                  <c:v>0.53211760922708939</c:v>
                </c:pt>
                <c:pt idx="1">
                  <c:v>0.51647500387216938</c:v>
                </c:pt>
                <c:pt idx="2">
                  <c:v>0.52950910447076249</c:v>
                </c:pt>
                <c:pt idx="3">
                  <c:v>0.51672243192541589</c:v>
                </c:pt>
                <c:pt idx="4">
                  <c:v>0.45196874629128425</c:v>
                </c:pt>
                <c:pt idx="5">
                  <c:v>0.41581321741699284</c:v>
                </c:pt>
                <c:pt idx="6">
                  <c:v>0.41946690549356969</c:v>
                </c:pt>
                <c:pt idx="7">
                  <c:v>0.37475303094944112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3C-486E-9E55-35CB82C13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773776"/>
        <c:axId val="794785776"/>
      </c:lineChart>
      <c:dateAx>
        <c:axId val="79478097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82896"/>
        <c:crosses val="autoZero"/>
        <c:auto val="1"/>
        <c:lblOffset val="100"/>
        <c:baseTimeUnit val="months"/>
        <c:majorUnit val="3"/>
        <c:majorTimeUnit val="months"/>
      </c:dateAx>
      <c:valAx>
        <c:axId val="7947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80976"/>
        <c:crosses val="autoZero"/>
        <c:crossBetween val="between"/>
        <c:dispUnits>
          <c:builtInUnit val="tr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79478577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73776"/>
        <c:crosses val="max"/>
        <c:crossBetween val="between"/>
      </c:valAx>
      <c:dateAx>
        <c:axId val="7947737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9478577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946592377173019E-2"/>
          <c:y val="4.1401263503369402E-2"/>
          <c:w val="0.86367082333285627"/>
          <c:h val="0.7690965522101027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ETFpage!$B$2</c:f>
              <c:strCache>
                <c:ptCount val="1"/>
                <c:pt idx="0">
                  <c:v>美国交易所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ETFpage!$A$3:$A$10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ETFpage!$B$3:$B$10</c:f>
              <c:numCache>
                <c:formatCode>"$"#,##0_);[Red]\("$"#,##0\)</c:formatCode>
                <c:ptCount val="8"/>
                <c:pt idx="0">
                  <c:v>778247435480</c:v>
                </c:pt>
                <c:pt idx="1">
                  <c:v>1487101330221</c:v>
                </c:pt>
                <c:pt idx="2">
                  <c:v>3313730724690</c:v>
                </c:pt>
                <c:pt idx="3">
                  <c:v>2889366004478</c:v>
                </c:pt>
                <c:pt idx="4">
                  <c:v>2286013728990</c:v>
                </c:pt>
                <c:pt idx="5">
                  <c:v>4224650773541</c:v>
                </c:pt>
                <c:pt idx="6">
                  <c:v>3491674737438</c:v>
                </c:pt>
                <c:pt idx="7">
                  <c:v>2444943062485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C-43E5-9C0C-A134533825A5}"/>
            </c:ext>
          </c:extLst>
        </c:ser>
        <c:ser>
          <c:idx val="1"/>
          <c:order val="1"/>
          <c:tx>
            <c:strRef>
              <c:f>ETFpage!$L$2</c:f>
              <c:strCache>
                <c:ptCount val="1"/>
                <c:pt idx="0">
                  <c:v>BTC+ETH ETF交易量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ETFpage!$A$3:$A$10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ETFpage!$L$3:$L$10</c:f>
              <c:numCache>
                <c:formatCode>General</c:formatCode>
                <c:ptCount val="8"/>
                <c:pt idx="2">
                  <c:v>7690000000</c:v>
                </c:pt>
                <c:pt idx="3">
                  <c:v>184630000000</c:v>
                </c:pt>
                <c:pt idx="4">
                  <c:v>321540000000</c:v>
                </c:pt>
                <c:pt idx="5">
                  <c:v>429240000000</c:v>
                </c:pt>
                <c:pt idx="6">
                  <c:v>673350000000</c:v>
                </c:pt>
                <c:pt idx="7">
                  <c:v>859690000000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C-43E5-9C0C-A13453382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50048272"/>
        <c:axId val="850049232"/>
      </c:barChart>
      <c:lineChart>
        <c:grouping val="standard"/>
        <c:varyColors val="0"/>
        <c:ser>
          <c:idx val="2"/>
          <c:order val="2"/>
          <c:tx>
            <c:strRef>
              <c:f>ETFpage!$M$2</c:f>
              <c:strCache>
                <c:ptCount val="1"/>
                <c:pt idx="0">
                  <c:v>ETF%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ETFpage!$A$3:$A$10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ETFpage!$M$3:$M$10</c:f>
              <c:numCache>
                <c:formatCode>General</c:formatCode>
                <c:ptCount val="8"/>
                <c:pt idx="2" formatCode="0.00%">
                  <c:v>1.2288038322006663E-3</c:v>
                </c:pt>
                <c:pt idx="3" formatCode="0.00%">
                  <c:v>3.3018476184233078E-2</c:v>
                </c:pt>
                <c:pt idx="4" formatCode="0.00%">
                  <c:v>6.3571810107504068E-2</c:v>
                </c:pt>
                <c:pt idx="5" formatCode="0.00%">
                  <c:v>4.2248146654372883E-2</c:v>
                </c:pt>
                <c:pt idx="6" formatCode="0.00%">
                  <c:v>8.0891853352108065E-2</c:v>
                </c:pt>
                <c:pt idx="7" formatCode="0.00%">
                  <c:v>0.13177052591542776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0C-43E5-9C0C-A13453382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061232"/>
        <c:axId val="850060752"/>
      </c:lineChart>
      <c:dateAx>
        <c:axId val="85004827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49232"/>
        <c:crosses val="autoZero"/>
        <c:auto val="1"/>
        <c:lblOffset val="100"/>
        <c:baseTimeUnit val="months"/>
      </c:dateAx>
      <c:valAx>
        <c:axId val="850049232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48272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85006075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61232"/>
        <c:crosses val="max"/>
        <c:crossBetween val="between"/>
      </c:valAx>
      <c:dateAx>
        <c:axId val="85006123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5006075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ETFpage!$B$36</c:f>
              <c:strCache>
                <c:ptCount val="1"/>
                <c:pt idx="0">
                  <c:v>Coinbase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ETFpage!$A$37:$A$42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ETFpage!$B$37:$B$42</c:f>
              <c:numCache>
                <c:formatCode>"$"#,##0_);[Red]\("$"#,##0\)</c:formatCode>
                <c:ptCount val="6"/>
                <c:pt idx="0">
                  <c:v>301439233806</c:v>
                </c:pt>
                <c:pt idx="1">
                  <c:v>217603673825</c:v>
                </c:pt>
                <c:pt idx="2">
                  <c:v>180044297955</c:v>
                </c:pt>
                <c:pt idx="3">
                  <c:v>438326766278</c:v>
                </c:pt>
                <c:pt idx="4">
                  <c:v>387789140611</c:v>
                </c:pt>
                <c:pt idx="5">
                  <c:v>226072927981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7-44F9-828C-53666C3B0C57}"/>
            </c:ext>
          </c:extLst>
        </c:ser>
        <c:ser>
          <c:idx val="1"/>
          <c:order val="1"/>
          <c:tx>
            <c:strRef>
              <c:f>ETFpage!$C$36</c:f>
              <c:strCache>
                <c:ptCount val="1"/>
                <c:pt idx="0">
                  <c:v>Kraken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ETFpage!$A$37:$A$42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ETFpage!$C$37:$C$42</c:f>
              <c:numCache>
                <c:formatCode>"$"#,##0_);[Red]\("$"#,##0\)</c:formatCode>
                <c:ptCount val="6"/>
                <c:pt idx="0">
                  <c:v>104476290281</c:v>
                </c:pt>
                <c:pt idx="1">
                  <c:v>71162990463</c:v>
                </c:pt>
                <c:pt idx="2">
                  <c:v>60932580909</c:v>
                </c:pt>
                <c:pt idx="3">
                  <c:v>127032858600</c:v>
                </c:pt>
                <c:pt idx="4">
                  <c:v>116139474265</c:v>
                </c:pt>
                <c:pt idx="5">
                  <c:v>94124505869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27-44F9-828C-53666C3B0C57}"/>
            </c:ext>
          </c:extLst>
        </c:ser>
        <c:ser>
          <c:idx val="2"/>
          <c:order val="2"/>
          <c:tx>
            <c:strRef>
              <c:f>ETFpage!$E$36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ETFpage!$A$37:$A$42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ETFpage!$E$37:$E$42</c:f>
              <c:numCache>
                <c:formatCode>"$"#,##0_);[Red]\("$"#,##0\)</c:formatCode>
                <c:ptCount val="6"/>
                <c:pt idx="0">
                  <c:v>7088193395</c:v>
                </c:pt>
                <c:pt idx="1">
                  <c:v>6102184978</c:v>
                </c:pt>
                <c:pt idx="2">
                  <c:v>5615364348</c:v>
                </c:pt>
                <c:pt idx="3">
                  <c:v>13859096144</c:v>
                </c:pt>
                <c:pt idx="4">
                  <c:v>12837127289</c:v>
                </c:pt>
                <c:pt idx="5">
                  <c:v>17905669673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27-44F9-828C-53666C3B0C57}"/>
            </c:ext>
          </c:extLst>
        </c:ser>
        <c:ser>
          <c:idx val="3"/>
          <c:order val="3"/>
          <c:tx>
            <c:strRef>
              <c:f>ETFpage!$F$36</c:f>
              <c:strCache>
                <c:ptCount val="1"/>
                <c:pt idx="0">
                  <c:v>bitFlyer 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ETFpage!$A$37:$A$42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ETFpage!$F$37:$F$42</c:f>
              <c:numCache>
                <c:formatCode>"$"#,##0_);[Red]\("$"#,##0\)</c:formatCode>
                <c:ptCount val="6"/>
                <c:pt idx="0">
                  <c:v>5709846866</c:v>
                </c:pt>
                <c:pt idx="1">
                  <c:v>7501134872</c:v>
                </c:pt>
                <c:pt idx="2">
                  <c:v>7265082391</c:v>
                </c:pt>
                <c:pt idx="3">
                  <c:v>9344414176</c:v>
                </c:pt>
                <c:pt idx="4">
                  <c:v>9002417938</c:v>
                </c:pt>
                <c:pt idx="5">
                  <c:v>7194082446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27-44F9-828C-53666C3B0C57}"/>
            </c:ext>
          </c:extLst>
        </c:ser>
        <c:ser>
          <c:idx val="4"/>
          <c:order val="4"/>
          <c:tx>
            <c:strRef>
              <c:f>ETFpage!$H$36</c:f>
              <c:strCache>
                <c:ptCount val="1"/>
                <c:pt idx="0">
                  <c:v>BTC ETF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ETFpage!$A$37:$A$42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ETFpage!$H$37:$H$42</c:f>
              <c:numCache>
                <c:formatCode>"$"#,##0_);[Red]\("$"#,##0\)</c:formatCode>
                <c:ptCount val="6"/>
                <c:pt idx="0">
                  <c:v>7690000000</c:v>
                </c:pt>
                <c:pt idx="1">
                  <c:v>176940000000</c:v>
                </c:pt>
                <c:pt idx="2">
                  <c:v>130290000000</c:v>
                </c:pt>
                <c:pt idx="3">
                  <c:v>106110000000</c:v>
                </c:pt>
                <c:pt idx="4">
                  <c:v>224970000000</c:v>
                </c:pt>
                <c:pt idx="5">
                  <c:v>191280000000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27-44F9-828C-53666C3B0C57}"/>
            </c:ext>
          </c:extLst>
        </c:ser>
        <c:ser>
          <c:idx val="5"/>
          <c:order val="5"/>
          <c:tx>
            <c:strRef>
              <c:f>ETFpage!$G$36</c:f>
              <c:strCache>
                <c:ptCount val="1"/>
                <c:pt idx="0">
                  <c:v>Robinhood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ETFpage!$G$37:$G$42</c:f>
              <c:numCache>
                <c:formatCode>"$"#,##0_);[Red]\("$"#,##0\)</c:formatCode>
                <c:ptCount val="6"/>
                <c:pt idx="0">
                  <c:v>17750000000</c:v>
                </c:pt>
                <c:pt idx="1">
                  <c:v>21500000000</c:v>
                </c:pt>
                <c:pt idx="2">
                  <c:v>14400000000</c:v>
                </c:pt>
                <c:pt idx="3">
                  <c:v>71000000000</c:v>
                </c:pt>
                <c:pt idx="4">
                  <c:v>46000000000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27-44F9-828C-53666C3B0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5970240"/>
        <c:axId val="695971200"/>
      </c:barChart>
      <c:dateAx>
        <c:axId val="69597024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71200"/>
        <c:crosses val="autoZero"/>
        <c:auto val="1"/>
        <c:lblOffset val="100"/>
        <c:baseTimeUnit val="months"/>
      </c:dateAx>
      <c:valAx>
        <c:axId val="6959712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70240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ETFpage!$B$36</c:f>
              <c:strCache>
                <c:ptCount val="1"/>
                <c:pt idx="0">
                  <c:v>Coinbase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ETFpage!$A$37:$A$42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ETFpage!$B$37:$B$42</c:f>
              <c:numCache>
                <c:formatCode>"$"#,##0_);[Red]\("$"#,##0\)</c:formatCode>
                <c:ptCount val="6"/>
                <c:pt idx="0">
                  <c:v>301439233806</c:v>
                </c:pt>
                <c:pt idx="1">
                  <c:v>217603673825</c:v>
                </c:pt>
                <c:pt idx="2">
                  <c:v>180044297955</c:v>
                </c:pt>
                <c:pt idx="3">
                  <c:v>438326766278</c:v>
                </c:pt>
                <c:pt idx="4">
                  <c:v>387789140611</c:v>
                </c:pt>
                <c:pt idx="5">
                  <c:v>226072927981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E-4E15-A8EF-EC46C1ED3F0D}"/>
            </c:ext>
          </c:extLst>
        </c:ser>
        <c:ser>
          <c:idx val="1"/>
          <c:order val="1"/>
          <c:tx>
            <c:strRef>
              <c:f>ETFpage!$C$36</c:f>
              <c:strCache>
                <c:ptCount val="1"/>
                <c:pt idx="0">
                  <c:v>Kraken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ETFpage!$A$37:$A$42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ETFpage!$C$37:$C$42</c:f>
              <c:numCache>
                <c:formatCode>"$"#,##0_);[Red]\("$"#,##0\)</c:formatCode>
                <c:ptCount val="6"/>
                <c:pt idx="0">
                  <c:v>104476290281</c:v>
                </c:pt>
                <c:pt idx="1">
                  <c:v>71162990463</c:v>
                </c:pt>
                <c:pt idx="2">
                  <c:v>60932580909</c:v>
                </c:pt>
                <c:pt idx="3">
                  <c:v>127032858600</c:v>
                </c:pt>
                <c:pt idx="4">
                  <c:v>116139474265</c:v>
                </c:pt>
                <c:pt idx="5">
                  <c:v>94124505869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E-4E15-A8EF-EC46C1ED3F0D}"/>
            </c:ext>
          </c:extLst>
        </c:ser>
        <c:ser>
          <c:idx val="2"/>
          <c:order val="2"/>
          <c:tx>
            <c:strRef>
              <c:f>ETFpage!$E$36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ETFpage!$A$37:$A$42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ETFpage!$E$37:$E$42</c:f>
              <c:numCache>
                <c:formatCode>"$"#,##0_);[Red]\("$"#,##0\)</c:formatCode>
                <c:ptCount val="6"/>
                <c:pt idx="0">
                  <c:v>7088193395</c:v>
                </c:pt>
                <c:pt idx="1">
                  <c:v>6102184978</c:v>
                </c:pt>
                <c:pt idx="2">
                  <c:v>5615364348</c:v>
                </c:pt>
                <c:pt idx="3">
                  <c:v>13859096144</c:v>
                </c:pt>
                <c:pt idx="4">
                  <c:v>12837127289</c:v>
                </c:pt>
                <c:pt idx="5">
                  <c:v>17905669673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DE-4E15-A8EF-EC46C1ED3F0D}"/>
            </c:ext>
          </c:extLst>
        </c:ser>
        <c:ser>
          <c:idx val="3"/>
          <c:order val="3"/>
          <c:tx>
            <c:strRef>
              <c:f>ETFpage!$F$36</c:f>
              <c:strCache>
                <c:ptCount val="1"/>
                <c:pt idx="0">
                  <c:v>bitFlyer 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ETFpage!$A$37:$A$42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ETFpage!$F$37:$F$42</c:f>
              <c:numCache>
                <c:formatCode>"$"#,##0_);[Red]\("$"#,##0\)</c:formatCode>
                <c:ptCount val="6"/>
                <c:pt idx="0">
                  <c:v>5709846866</c:v>
                </c:pt>
                <c:pt idx="1">
                  <c:v>7501134872</c:v>
                </c:pt>
                <c:pt idx="2">
                  <c:v>7265082391</c:v>
                </c:pt>
                <c:pt idx="3">
                  <c:v>9344414176</c:v>
                </c:pt>
                <c:pt idx="4">
                  <c:v>9002417938</c:v>
                </c:pt>
                <c:pt idx="5">
                  <c:v>7194082446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DE-4E15-A8EF-EC46C1ED3F0D}"/>
            </c:ext>
          </c:extLst>
        </c:ser>
        <c:ser>
          <c:idx val="4"/>
          <c:order val="4"/>
          <c:tx>
            <c:strRef>
              <c:f>ETFpage!$G$36</c:f>
              <c:strCache>
                <c:ptCount val="1"/>
                <c:pt idx="0">
                  <c:v>Robinhood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ETFpage!$A$37:$A$42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ETFpage!$G$37:$G$42</c:f>
              <c:numCache>
                <c:formatCode>"$"#,##0_);[Red]\("$"#,##0\)</c:formatCode>
                <c:ptCount val="6"/>
                <c:pt idx="0">
                  <c:v>17750000000</c:v>
                </c:pt>
                <c:pt idx="1">
                  <c:v>21500000000</c:v>
                </c:pt>
                <c:pt idx="2">
                  <c:v>14400000000</c:v>
                </c:pt>
                <c:pt idx="3">
                  <c:v>71000000000</c:v>
                </c:pt>
                <c:pt idx="4">
                  <c:v>46000000000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DE-4E15-A8EF-EC46C1ED3F0D}"/>
            </c:ext>
          </c:extLst>
        </c:ser>
        <c:ser>
          <c:idx val="5"/>
          <c:order val="5"/>
          <c:tx>
            <c:strRef>
              <c:f>ETFpage!$H$36</c:f>
              <c:strCache>
                <c:ptCount val="1"/>
                <c:pt idx="0">
                  <c:v>BTC ETF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ETFpage!$A$37:$A$42</c:f>
              <c:numCache>
                <c:formatCode>m/d/yyyy</c:formatCode>
                <c:ptCount val="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</c:numCache>
            </c:numRef>
          </c:cat>
          <c:val>
            <c:numRef>
              <c:f>ETFpage!$H$37:$H$42</c:f>
              <c:numCache>
                <c:formatCode>"$"#,##0_);[Red]\("$"#,##0\)</c:formatCode>
                <c:ptCount val="6"/>
                <c:pt idx="0">
                  <c:v>7690000000</c:v>
                </c:pt>
                <c:pt idx="1">
                  <c:v>176940000000</c:v>
                </c:pt>
                <c:pt idx="2">
                  <c:v>130290000000</c:v>
                </c:pt>
                <c:pt idx="3">
                  <c:v>106110000000</c:v>
                </c:pt>
                <c:pt idx="4">
                  <c:v>224970000000</c:v>
                </c:pt>
                <c:pt idx="5">
                  <c:v>191280000000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DE-4E15-A8EF-EC46C1ED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9415200"/>
        <c:axId val="809412320"/>
      </c:barChart>
      <c:dateAx>
        <c:axId val="80941520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12320"/>
        <c:crosses val="autoZero"/>
        <c:auto val="1"/>
        <c:lblOffset val="100"/>
        <c:baseTimeUnit val="months"/>
      </c:dateAx>
      <c:valAx>
        <c:axId val="8094123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1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ETFpage!$D$2</c:f>
              <c:strCache>
                <c:ptCount val="1"/>
                <c:pt idx="0">
                  <c:v>总交易量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ETFpage!$A$3:$A$10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ETFpage!$D$3:$D$10</c:f>
              <c:numCache>
                <c:formatCode>"$"#,##0_);[Red]\("$"#,##0\)</c:formatCode>
                <c:ptCount val="8"/>
                <c:pt idx="0">
                  <c:v>1462547793918</c:v>
                </c:pt>
                <c:pt idx="1">
                  <c:v>2879328755645</c:v>
                </c:pt>
                <c:pt idx="2">
                  <c:v>6258118503934</c:v>
                </c:pt>
                <c:pt idx="3">
                  <c:v>5591717769464</c:v>
                </c:pt>
                <c:pt idx="4">
                  <c:v>5057902228303</c:v>
                </c:pt>
                <c:pt idx="5">
                  <c:v>10159972306278</c:v>
                </c:pt>
                <c:pt idx="6">
                  <c:v>8324076802506</c:v>
                </c:pt>
                <c:pt idx="7">
                  <c:v>6524144864928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1-4235-AA7F-4E68A40C8C41}"/>
            </c:ext>
          </c:extLst>
        </c:ser>
        <c:ser>
          <c:idx val="1"/>
          <c:order val="1"/>
          <c:tx>
            <c:strRef>
              <c:f>ETFpage!$L$2</c:f>
              <c:strCache>
                <c:ptCount val="1"/>
                <c:pt idx="0">
                  <c:v>BTC+ETH ETF交易量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ETFpage!$A$3:$A$10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ETFpage!$L$3:$L$10</c:f>
              <c:numCache>
                <c:formatCode>General</c:formatCode>
                <c:ptCount val="8"/>
                <c:pt idx="2">
                  <c:v>7690000000</c:v>
                </c:pt>
                <c:pt idx="3">
                  <c:v>184630000000</c:v>
                </c:pt>
                <c:pt idx="4">
                  <c:v>321540000000</c:v>
                </c:pt>
                <c:pt idx="5">
                  <c:v>429240000000</c:v>
                </c:pt>
                <c:pt idx="6">
                  <c:v>673350000000</c:v>
                </c:pt>
                <c:pt idx="7">
                  <c:v>859690000000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1-4235-AA7F-4E68A40C8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78592"/>
        <c:axId val="147176192"/>
      </c:barChart>
      <c:lineChart>
        <c:grouping val="standard"/>
        <c:varyColors val="0"/>
        <c:ser>
          <c:idx val="2"/>
          <c:order val="2"/>
          <c:tx>
            <c:strRef>
              <c:f>ETFpage!$M$2</c:f>
              <c:strCache>
                <c:ptCount val="1"/>
                <c:pt idx="0">
                  <c:v>ETF%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ETFpage!$A$3:$A$10</c:f>
              <c:numCache>
                <c:formatCode>m/d/yyyy</c:formatCode>
                <c:ptCount val="8"/>
                <c:pt idx="0">
                  <c:v>45108</c:v>
                </c:pt>
                <c:pt idx="1">
                  <c:v>45200</c:v>
                </c:pt>
                <c:pt idx="2">
                  <c:v>45292</c:v>
                </c:pt>
                <c:pt idx="3">
                  <c:v>45383</c:v>
                </c:pt>
                <c:pt idx="4">
                  <c:v>45474</c:v>
                </c:pt>
                <c:pt idx="5">
                  <c:v>45566</c:v>
                </c:pt>
                <c:pt idx="6">
                  <c:v>45658</c:v>
                </c:pt>
                <c:pt idx="7">
                  <c:v>45748</c:v>
                </c:pt>
              </c:numCache>
            </c:numRef>
          </c:cat>
          <c:val>
            <c:numRef>
              <c:f>ETFpage!$M$3:$M$10</c:f>
              <c:numCache>
                <c:formatCode>General</c:formatCode>
                <c:ptCount val="8"/>
                <c:pt idx="2" formatCode="0.00%">
                  <c:v>1.2288038322006663E-3</c:v>
                </c:pt>
                <c:pt idx="3" formatCode="0.00%">
                  <c:v>3.3018476184233078E-2</c:v>
                </c:pt>
                <c:pt idx="4" formatCode="0.00%">
                  <c:v>6.3571810107504068E-2</c:v>
                </c:pt>
                <c:pt idx="5" formatCode="0.00%">
                  <c:v>4.2248146654372883E-2</c:v>
                </c:pt>
                <c:pt idx="6" formatCode="0.00%">
                  <c:v>8.0891853352108065E-2</c:v>
                </c:pt>
                <c:pt idx="7" formatCode="0.00%">
                  <c:v>0.13177052591542776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F1-4235-AA7F-4E68A40C8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183392"/>
        <c:axId val="147177152"/>
      </c:lineChart>
      <c:dateAx>
        <c:axId val="14717859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76192"/>
        <c:crosses val="autoZero"/>
        <c:auto val="1"/>
        <c:lblOffset val="100"/>
        <c:baseTimeUnit val="months"/>
      </c:dateAx>
      <c:valAx>
        <c:axId val="14717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78592"/>
        <c:crosses val="autoZero"/>
        <c:crossBetween val="between"/>
        <c:dispUnits>
          <c:builtInUnit val="tr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471771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83392"/>
        <c:crosses val="max"/>
        <c:crossBetween val="between"/>
      </c:valAx>
      <c:dateAx>
        <c:axId val="14718339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7177152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Exchange!$B$1</c:f>
              <c:strCache>
                <c:ptCount val="1"/>
                <c:pt idx="0">
                  <c:v>US Region Volume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Exchange!$A$2:$A$12</c:f>
              <c:numCache>
                <c:formatCode>m/d/yyyy</c:formatCode>
                <c:ptCount val="11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</c:numCache>
            </c:numRef>
          </c:cat>
          <c:val>
            <c:numRef>
              <c:f>Exchange!$B$2:$B$12</c:f>
              <c:numCache>
                <c:formatCode>"$"#,##0_);[Red]\("$"#,##0\)</c:formatCode>
                <c:ptCount val="11"/>
                <c:pt idx="0">
                  <c:v>2378799272909</c:v>
                </c:pt>
                <c:pt idx="1">
                  <c:v>1133085766109</c:v>
                </c:pt>
                <c:pt idx="2">
                  <c:v>778247435480</c:v>
                </c:pt>
                <c:pt idx="3">
                  <c:v>1487101330221</c:v>
                </c:pt>
                <c:pt idx="4">
                  <c:v>3313730724690</c:v>
                </c:pt>
                <c:pt idx="5">
                  <c:v>2889366004478</c:v>
                </c:pt>
                <c:pt idx="6">
                  <c:v>2286013728990</c:v>
                </c:pt>
                <c:pt idx="7">
                  <c:v>4224650773541</c:v>
                </c:pt>
                <c:pt idx="8">
                  <c:v>3491674737438</c:v>
                </c:pt>
                <c:pt idx="9">
                  <c:v>2444943062485</c:v>
                </c:pt>
                <c:pt idx="10">
                  <c:v>300449662573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3-4F47-A7C3-E931FB46211D}"/>
            </c:ext>
          </c:extLst>
        </c:ser>
        <c:ser>
          <c:idx val="1"/>
          <c:order val="1"/>
          <c:tx>
            <c:strRef>
              <c:f>Exchange!$C$1</c:f>
              <c:strCache>
                <c:ptCount val="1"/>
                <c:pt idx="0">
                  <c:v>Global Volume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Exchange!$A$2:$A$12</c:f>
              <c:numCache>
                <c:formatCode>m/d/yyyy</c:formatCode>
                <c:ptCount val="11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</c:numCache>
            </c:numRef>
          </c:cat>
          <c:val>
            <c:numRef>
              <c:f>Exchange!$C$2:$C$12</c:f>
              <c:numCache>
                <c:formatCode>"$"#,##0_);[Red]\("$"#,##0\)</c:formatCode>
                <c:ptCount val="11"/>
                <c:pt idx="0">
                  <c:v>3380467174102</c:v>
                </c:pt>
                <c:pt idx="1">
                  <c:v>1944014301976</c:v>
                </c:pt>
                <c:pt idx="2">
                  <c:v>1462547793918</c:v>
                </c:pt>
                <c:pt idx="3">
                  <c:v>2879328755645</c:v>
                </c:pt>
                <c:pt idx="4">
                  <c:v>6258118503934</c:v>
                </c:pt>
                <c:pt idx="5">
                  <c:v>5591717769464</c:v>
                </c:pt>
                <c:pt idx="6">
                  <c:v>5057902228303</c:v>
                </c:pt>
                <c:pt idx="7">
                  <c:v>10159972306278</c:v>
                </c:pt>
                <c:pt idx="8">
                  <c:v>8324076802506</c:v>
                </c:pt>
                <c:pt idx="9">
                  <c:v>6524144864928</c:v>
                </c:pt>
                <c:pt idx="10">
                  <c:v>774464538012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33-4F47-A7C3-E931FB462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2208863"/>
        <c:axId val="342209343"/>
      </c:barChart>
      <c:lineChart>
        <c:grouping val="standard"/>
        <c:varyColors val="0"/>
        <c:ser>
          <c:idx val="2"/>
          <c:order val="2"/>
          <c:tx>
            <c:strRef>
              <c:f>Exchange!$D$1</c:f>
              <c:strCache>
                <c:ptCount val="1"/>
                <c:pt idx="0">
                  <c:v>US % Share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Exchange!$A$2:$A$12</c:f>
              <c:numCache>
                <c:formatCode>m/d/yyyy</c:formatCode>
                <c:ptCount val="11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</c:numCache>
            </c:numRef>
          </c:cat>
          <c:val>
            <c:numRef>
              <c:f>Exchange!$D$2:$D$12</c:f>
              <c:numCache>
                <c:formatCode>0%</c:formatCode>
                <c:ptCount val="11"/>
                <c:pt idx="0">
                  <c:v>0.70399999999999996</c:v>
                </c:pt>
                <c:pt idx="1">
                  <c:v>0.58299999999999996</c:v>
                </c:pt>
                <c:pt idx="2">
                  <c:v>0.53200000000000003</c:v>
                </c:pt>
                <c:pt idx="3">
                  <c:v>0.51600000000000001</c:v>
                </c:pt>
                <c:pt idx="4">
                  <c:v>0.53</c:v>
                </c:pt>
                <c:pt idx="5">
                  <c:v>0.51700000000000002</c:v>
                </c:pt>
                <c:pt idx="6">
                  <c:v>0.45200000000000001</c:v>
                </c:pt>
                <c:pt idx="7">
                  <c:v>0.41599999999999998</c:v>
                </c:pt>
                <c:pt idx="8">
                  <c:v>0.41899999999999998</c:v>
                </c:pt>
                <c:pt idx="9">
                  <c:v>0.375</c:v>
                </c:pt>
                <c:pt idx="10">
                  <c:v>0.38800000000000001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33-4F47-A7C3-E931FB462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75376"/>
        <c:axId val="139376336"/>
      </c:lineChart>
      <c:dateAx>
        <c:axId val="342208863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09343"/>
        <c:crosses val="autoZero"/>
        <c:auto val="1"/>
        <c:lblOffset val="100"/>
        <c:baseTimeUnit val="months"/>
      </c:dateAx>
      <c:valAx>
        <c:axId val="34220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08863"/>
        <c:crosses val="autoZero"/>
        <c:crossBetween val="between"/>
        <c:dispUnits>
          <c:builtInUnit val="tr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3937633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5376"/>
        <c:crosses val="max"/>
        <c:crossBetween val="between"/>
      </c:valAx>
      <c:dateAx>
        <c:axId val="1393753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9376336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'Coinbase price'!$B$1</c:f>
              <c:strCache>
                <c:ptCount val="1"/>
                <c:pt idx="0">
                  <c:v>Close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'Coinbase price'!$A$2:$A$1567</c:f>
              <c:numCache>
                <c:formatCode>m/d/yyyy\ h:mm</c:formatCode>
                <c:ptCount val="1566"/>
                <c:pt idx="0">
                  <c:v>44300.666666666664</c:v>
                </c:pt>
                <c:pt idx="1">
                  <c:v>44301.666666666664</c:v>
                </c:pt>
                <c:pt idx="2">
                  <c:v>44302.666666666664</c:v>
                </c:pt>
                <c:pt idx="3">
                  <c:v>44305.666666666664</c:v>
                </c:pt>
                <c:pt idx="4">
                  <c:v>44306.666666666664</c:v>
                </c:pt>
                <c:pt idx="5">
                  <c:v>44307.666666666664</c:v>
                </c:pt>
                <c:pt idx="6">
                  <c:v>44308.666666666664</c:v>
                </c:pt>
                <c:pt idx="7">
                  <c:v>44309.666666666664</c:v>
                </c:pt>
                <c:pt idx="8">
                  <c:v>44312.666666666664</c:v>
                </c:pt>
                <c:pt idx="9">
                  <c:v>44313.666666666664</c:v>
                </c:pt>
                <c:pt idx="10">
                  <c:v>44314.666666666664</c:v>
                </c:pt>
                <c:pt idx="11">
                  <c:v>44315.666666666664</c:v>
                </c:pt>
                <c:pt idx="12">
                  <c:v>44316.666666666664</c:v>
                </c:pt>
                <c:pt idx="13">
                  <c:v>44319.666666666664</c:v>
                </c:pt>
                <c:pt idx="14">
                  <c:v>44320.666666666664</c:v>
                </c:pt>
                <c:pt idx="15">
                  <c:v>44321.666666666664</c:v>
                </c:pt>
                <c:pt idx="16">
                  <c:v>44322.666666666664</c:v>
                </c:pt>
                <c:pt idx="17">
                  <c:v>44323.666666666664</c:v>
                </c:pt>
                <c:pt idx="18">
                  <c:v>44326.666666666664</c:v>
                </c:pt>
                <c:pt idx="19">
                  <c:v>44327.666666666664</c:v>
                </c:pt>
                <c:pt idx="20">
                  <c:v>44328.666666666664</c:v>
                </c:pt>
                <c:pt idx="21">
                  <c:v>44329.666666666664</c:v>
                </c:pt>
                <c:pt idx="22">
                  <c:v>44330.666666666664</c:v>
                </c:pt>
                <c:pt idx="23">
                  <c:v>44333.666666666664</c:v>
                </c:pt>
                <c:pt idx="24">
                  <c:v>44334.666666666664</c:v>
                </c:pt>
                <c:pt idx="25">
                  <c:v>44335.666666666664</c:v>
                </c:pt>
                <c:pt idx="26">
                  <c:v>44336.666666666664</c:v>
                </c:pt>
                <c:pt idx="27">
                  <c:v>44337.666666666664</c:v>
                </c:pt>
                <c:pt idx="28">
                  <c:v>44340.666666666664</c:v>
                </c:pt>
                <c:pt idx="29">
                  <c:v>44341.666666666664</c:v>
                </c:pt>
                <c:pt idx="30">
                  <c:v>44342.666666666664</c:v>
                </c:pt>
                <c:pt idx="31">
                  <c:v>44343.666666666664</c:v>
                </c:pt>
                <c:pt idx="32">
                  <c:v>44344.666666666664</c:v>
                </c:pt>
                <c:pt idx="33">
                  <c:v>44348.666666666664</c:v>
                </c:pt>
                <c:pt idx="34">
                  <c:v>44349.666666666664</c:v>
                </c:pt>
                <c:pt idx="35">
                  <c:v>44350.666666666664</c:v>
                </c:pt>
                <c:pt idx="36">
                  <c:v>44351.666666666664</c:v>
                </c:pt>
                <c:pt idx="37">
                  <c:v>44354.666666666664</c:v>
                </c:pt>
                <c:pt idx="38">
                  <c:v>44355.666666666664</c:v>
                </c:pt>
                <c:pt idx="39">
                  <c:v>44356.666666666664</c:v>
                </c:pt>
                <c:pt idx="40">
                  <c:v>44357.666666666664</c:v>
                </c:pt>
                <c:pt idx="41">
                  <c:v>44358.666666666664</c:v>
                </c:pt>
                <c:pt idx="42">
                  <c:v>44361.666666666664</c:v>
                </c:pt>
                <c:pt idx="43">
                  <c:v>44362.666666666664</c:v>
                </c:pt>
                <c:pt idx="44">
                  <c:v>44363.666666666664</c:v>
                </c:pt>
                <c:pt idx="45">
                  <c:v>44364.666666666664</c:v>
                </c:pt>
                <c:pt idx="46">
                  <c:v>44365.666666666664</c:v>
                </c:pt>
                <c:pt idx="47">
                  <c:v>44368.666666666664</c:v>
                </c:pt>
                <c:pt idx="48">
                  <c:v>44369.666666666664</c:v>
                </c:pt>
                <c:pt idx="49">
                  <c:v>44370.666666666664</c:v>
                </c:pt>
                <c:pt idx="50">
                  <c:v>44371.666666666664</c:v>
                </c:pt>
                <c:pt idx="51">
                  <c:v>44372.666666666664</c:v>
                </c:pt>
                <c:pt idx="52">
                  <c:v>44375.666666666664</c:v>
                </c:pt>
                <c:pt idx="53">
                  <c:v>44376.666666666664</c:v>
                </c:pt>
                <c:pt idx="54">
                  <c:v>44377.666666666664</c:v>
                </c:pt>
                <c:pt idx="55">
                  <c:v>44378.666666666664</c:v>
                </c:pt>
                <c:pt idx="56">
                  <c:v>44379.666666666664</c:v>
                </c:pt>
                <c:pt idx="57">
                  <c:v>44383.666666666664</c:v>
                </c:pt>
                <c:pt idx="58">
                  <c:v>44384.666666666664</c:v>
                </c:pt>
                <c:pt idx="59">
                  <c:v>44385.666666666664</c:v>
                </c:pt>
                <c:pt idx="60">
                  <c:v>44386.666666666664</c:v>
                </c:pt>
                <c:pt idx="61">
                  <c:v>44389.666666666664</c:v>
                </c:pt>
                <c:pt idx="62">
                  <c:v>44390.666666666664</c:v>
                </c:pt>
                <c:pt idx="63">
                  <c:v>44391.666666666664</c:v>
                </c:pt>
                <c:pt idx="64">
                  <c:v>44392.666666666664</c:v>
                </c:pt>
                <c:pt idx="65">
                  <c:v>44393.666666666664</c:v>
                </c:pt>
                <c:pt idx="66">
                  <c:v>44396.666666666664</c:v>
                </c:pt>
                <c:pt idx="67">
                  <c:v>44397.666666666664</c:v>
                </c:pt>
                <c:pt idx="68">
                  <c:v>44398.666666666664</c:v>
                </c:pt>
                <c:pt idx="69">
                  <c:v>44399.666666666664</c:v>
                </c:pt>
                <c:pt idx="70">
                  <c:v>44400.666666666664</c:v>
                </c:pt>
                <c:pt idx="71">
                  <c:v>44403.666666666664</c:v>
                </c:pt>
                <c:pt idx="72">
                  <c:v>44404.666666666664</c:v>
                </c:pt>
                <c:pt idx="73">
                  <c:v>44405.666666666664</c:v>
                </c:pt>
                <c:pt idx="74">
                  <c:v>44406.666666666664</c:v>
                </c:pt>
                <c:pt idx="75">
                  <c:v>44407.666666666664</c:v>
                </c:pt>
                <c:pt idx="76">
                  <c:v>44410.666666666664</c:v>
                </c:pt>
                <c:pt idx="77">
                  <c:v>44411.666666666664</c:v>
                </c:pt>
                <c:pt idx="78">
                  <c:v>44412.666666666664</c:v>
                </c:pt>
                <c:pt idx="79">
                  <c:v>44413.666666666664</c:v>
                </c:pt>
                <c:pt idx="80">
                  <c:v>44414.666666666664</c:v>
                </c:pt>
                <c:pt idx="81">
                  <c:v>44417.666666666664</c:v>
                </c:pt>
                <c:pt idx="82">
                  <c:v>44418.666666666664</c:v>
                </c:pt>
                <c:pt idx="83">
                  <c:v>44419.666666666664</c:v>
                </c:pt>
                <c:pt idx="84">
                  <c:v>44420.666666666664</c:v>
                </c:pt>
                <c:pt idx="85">
                  <c:v>44421.666666666664</c:v>
                </c:pt>
                <c:pt idx="86">
                  <c:v>44424.666666666664</c:v>
                </c:pt>
                <c:pt idx="87">
                  <c:v>44425.666666666664</c:v>
                </c:pt>
                <c:pt idx="88">
                  <c:v>44426.666666666664</c:v>
                </c:pt>
                <c:pt idx="89">
                  <c:v>44427.666666666664</c:v>
                </c:pt>
                <c:pt idx="90">
                  <c:v>44428.666666666664</c:v>
                </c:pt>
                <c:pt idx="91">
                  <c:v>44431.666666666664</c:v>
                </c:pt>
                <c:pt idx="92">
                  <c:v>44432.666666666664</c:v>
                </c:pt>
                <c:pt idx="93">
                  <c:v>44433.666666666664</c:v>
                </c:pt>
                <c:pt idx="94">
                  <c:v>44434.666666666664</c:v>
                </c:pt>
                <c:pt idx="95">
                  <c:v>44435.666666666664</c:v>
                </c:pt>
                <c:pt idx="96">
                  <c:v>44438.666666666664</c:v>
                </c:pt>
                <c:pt idx="97">
                  <c:v>44439.666666666664</c:v>
                </c:pt>
                <c:pt idx="98">
                  <c:v>44440.666666666664</c:v>
                </c:pt>
                <c:pt idx="99">
                  <c:v>44441.666666666664</c:v>
                </c:pt>
                <c:pt idx="100">
                  <c:v>44442.666666666664</c:v>
                </c:pt>
                <c:pt idx="101">
                  <c:v>44446.666666666664</c:v>
                </c:pt>
                <c:pt idx="102">
                  <c:v>44447.666666666664</c:v>
                </c:pt>
                <c:pt idx="103">
                  <c:v>44448.666666666664</c:v>
                </c:pt>
                <c:pt idx="104">
                  <c:v>44449.666666666664</c:v>
                </c:pt>
                <c:pt idx="105">
                  <c:v>44452.666666666664</c:v>
                </c:pt>
                <c:pt idx="106">
                  <c:v>44453.666666666664</c:v>
                </c:pt>
                <c:pt idx="107">
                  <c:v>44454.666666666664</c:v>
                </c:pt>
                <c:pt idx="108">
                  <c:v>44455.666666666664</c:v>
                </c:pt>
                <c:pt idx="109">
                  <c:v>44456.666666666664</c:v>
                </c:pt>
                <c:pt idx="110">
                  <c:v>44459.666666666664</c:v>
                </c:pt>
                <c:pt idx="111">
                  <c:v>44460.666666666664</c:v>
                </c:pt>
                <c:pt idx="112">
                  <c:v>44461.666666666664</c:v>
                </c:pt>
                <c:pt idx="113">
                  <c:v>44462.666666666664</c:v>
                </c:pt>
                <c:pt idx="114">
                  <c:v>44463.666666666664</c:v>
                </c:pt>
                <c:pt idx="115">
                  <c:v>44466.666666666664</c:v>
                </c:pt>
                <c:pt idx="116">
                  <c:v>44467.666666666664</c:v>
                </c:pt>
                <c:pt idx="117">
                  <c:v>44468.666666666664</c:v>
                </c:pt>
                <c:pt idx="118">
                  <c:v>44469.666666666664</c:v>
                </c:pt>
                <c:pt idx="119">
                  <c:v>44470.666666666664</c:v>
                </c:pt>
                <c:pt idx="120">
                  <c:v>44473.666666666664</c:v>
                </c:pt>
                <c:pt idx="121">
                  <c:v>44474.666666666664</c:v>
                </c:pt>
                <c:pt idx="122">
                  <c:v>44475.666666666664</c:v>
                </c:pt>
                <c:pt idx="123">
                  <c:v>44476.666666666664</c:v>
                </c:pt>
                <c:pt idx="124">
                  <c:v>44477.666666666664</c:v>
                </c:pt>
                <c:pt idx="125">
                  <c:v>44480.666666666664</c:v>
                </c:pt>
                <c:pt idx="126">
                  <c:v>44481.666666666664</c:v>
                </c:pt>
                <c:pt idx="127">
                  <c:v>44482.666666666664</c:v>
                </c:pt>
                <c:pt idx="128">
                  <c:v>44483.666666666664</c:v>
                </c:pt>
                <c:pt idx="129">
                  <c:v>44484.666666666664</c:v>
                </c:pt>
                <c:pt idx="130">
                  <c:v>44487.666666666664</c:v>
                </c:pt>
                <c:pt idx="131">
                  <c:v>44488.666666666664</c:v>
                </c:pt>
                <c:pt idx="132">
                  <c:v>44489.666666666664</c:v>
                </c:pt>
                <c:pt idx="133">
                  <c:v>44490.666666666664</c:v>
                </c:pt>
                <c:pt idx="134">
                  <c:v>44491.666666666664</c:v>
                </c:pt>
                <c:pt idx="135">
                  <c:v>44494.666666666664</c:v>
                </c:pt>
                <c:pt idx="136">
                  <c:v>44495.666666666664</c:v>
                </c:pt>
                <c:pt idx="137">
                  <c:v>44496.666666666664</c:v>
                </c:pt>
                <c:pt idx="138">
                  <c:v>44497.666666666664</c:v>
                </c:pt>
                <c:pt idx="139">
                  <c:v>44498.666666666664</c:v>
                </c:pt>
                <c:pt idx="140">
                  <c:v>44501.666666666664</c:v>
                </c:pt>
                <c:pt idx="141">
                  <c:v>44502.666666666664</c:v>
                </c:pt>
                <c:pt idx="142">
                  <c:v>44503.666666666664</c:v>
                </c:pt>
                <c:pt idx="143">
                  <c:v>44504.666666666664</c:v>
                </c:pt>
                <c:pt idx="144">
                  <c:v>44505.666666666664</c:v>
                </c:pt>
                <c:pt idx="145">
                  <c:v>44508.666666666664</c:v>
                </c:pt>
                <c:pt idx="146">
                  <c:v>44509.666666666664</c:v>
                </c:pt>
                <c:pt idx="147">
                  <c:v>44510.666666666664</c:v>
                </c:pt>
                <c:pt idx="148">
                  <c:v>44511.666666666664</c:v>
                </c:pt>
                <c:pt idx="149">
                  <c:v>44512.666666666664</c:v>
                </c:pt>
                <c:pt idx="150">
                  <c:v>44515.666666666664</c:v>
                </c:pt>
                <c:pt idx="151">
                  <c:v>44516.666666666664</c:v>
                </c:pt>
                <c:pt idx="152">
                  <c:v>44517.666666666664</c:v>
                </c:pt>
                <c:pt idx="153">
                  <c:v>44518.666666666664</c:v>
                </c:pt>
                <c:pt idx="154">
                  <c:v>44519.666666666664</c:v>
                </c:pt>
                <c:pt idx="155">
                  <c:v>44522.666666666664</c:v>
                </c:pt>
                <c:pt idx="156">
                  <c:v>44523.666666666664</c:v>
                </c:pt>
                <c:pt idx="157">
                  <c:v>44524.666666666664</c:v>
                </c:pt>
                <c:pt idx="158">
                  <c:v>44526.541666666664</c:v>
                </c:pt>
                <c:pt idx="159">
                  <c:v>44529.666666666664</c:v>
                </c:pt>
                <c:pt idx="160">
                  <c:v>44530.666666666664</c:v>
                </c:pt>
                <c:pt idx="161">
                  <c:v>44531.666666666664</c:v>
                </c:pt>
                <c:pt idx="162">
                  <c:v>44532.666666666664</c:v>
                </c:pt>
                <c:pt idx="163">
                  <c:v>44533.666666666664</c:v>
                </c:pt>
                <c:pt idx="164">
                  <c:v>44536.666666666664</c:v>
                </c:pt>
                <c:pt idx="165">
                  <c:v>44537.666666666664</c:v>
                </c:pt>
                <c:pt idx="166">
                  <c:v>44538.666666666664</c:v>
                </c:pt>
                <c:pt idx="167">
                  <c:v>44539.666666666664</c:v>
                </c:pt>
                <c:pt idx="168">
                  <c:v>44540.666666666664</c:v>
                </c:pt>
                <c:pt idx="169">
                  <c:v>44543.666666666664</c:v>
                </c:pt>
                <c:pt idx="170">
                  <c:v>44544.666666666664</c:v>
                </c:pt>
                <c:pt idx="171">
                  <c:v>44545.666666666664</c:v>
                </c:pt>
                <c:pt idx="172">
                  <c:v>44546.666666666664</c:v>
                </c:pt>
                <c:pt idx="173">
                  <c:v>44547.666666666664</c:v>
                </c:pt>
                <c:pt idx="174">
                  <c:v>44550.666666666664</c:v>
                </c:pt>
                <c:pt idx="175">
                  <c:v>44551.666666666664</c:v>
                </c:pt>
                <c:pt idx="176">
                  <c:v>44552.666666666664</c:v>
                </c:pt>
                <c:pt idx="177">
                  <c:v>44553.666666666664</c:v>
                </c:pt>
                <c:pt idx="178">
                  <c:v>44557.666666666664</c:v>
                </c:pt>
                <c:pt idx="179">
                  <c:v>44558.666666666664</c:v>
                </c:pt>
                <c:pt idx="180">
                  <c:v>44559.666666666664</c:v>
                </c:pt>
                <c:pt idx="181">
                  <c:v>44560.666666666664</c:v>
                </c:pt>
                <c:pt idx="182">
                  <c:v>44561.666666666664</c:v>
                </c:pt>
                <c:pt idx="183">
                  <c:v>44564.666666666664</c:v>
                </c:pt>
                <c:pt idx="184">
                  <c:v>44565.666666666664</c:v>
                </c:pt>
                <c:pt idx="185">
                  <c:v>44566.666666666664</c:v>
                </c:pt>
                <c:pt idx="186">
                  <c:v>44567.666666666664</c:v>
                </c:pt>
                <c:pt idx="187">
                  <c:v>44568.666666666664</c:v>
                </c:pt>
                <c:pt idx="188">
                  <c:v>44571.666666666664</c:v>
                </c:pt>
                <c:pt idx="189">
                  <c:v>44572.666666666664</c:v>
                </c:pt>
                <c:pt idx="190">
                  <c:v>44573.666666666664</c:v>
                </c:pt>
                <c:pt idx="191">
                  <c:v>44574.666666666664</c:v>
                </c:pt>
                <c:pt idx="192">
                  <c:v>44575.666666666664</c:v>
                </c:pt>
                <c:pt idx="193">
                  <c:v>44579.666666666664</c:v>
                </c:pt>
                <c:pt idx="194">
                  <c:v>44580.666666666664</c:v>
                </c:pt>
                <c:pt idx="195">
                  <c:v>44581.666666666664</c:v>
                </c:pt>
                <c:pt idx="196">
                  <c:v>44582.666666666664</c:v>
                </c:pt>
                <c:pt idx="197">
                  <c:v>44585.666666666664</c:v>
                </c:pt>
                <c:pt idx="198">
                  <c:v>44586.666666666664</c:v>
                </c:pt>
                <c:pt idx="199">
                  <c:v>44587.666666666664</c:v>
                </c:pt>
                <c:pt idx="200">
                  <c:v>44588.666666666664</c:v>
                </c:pt>
                <c:pt idx="201">
                  <c:v>44589.666666666664</c:v>
                </c:pt>
                <c:pt idx="202">
                  <c:v>44592.666666666664</c:v>
                </c:pt>
                <c:pt idx="203">
                  <c:v>44593.666666666664</c:v>
                </c:pt>
                <c:pt idx="204">
                  <c:v>44594.666666666664</c:v>
                </c:pt>
                <c:pt idx="205">
                  <c:v>44595.666666666664</c:v>
                </c:pt>
                <c:pt idx="206">
                  <c:v>44596.666666666664</c:v>
                </c:pt>
                <c:pt idx="207">
                  <c:v>44599.666666666664</c:v>
                </c:pt>
                <c:pt idx="208">
                  <c:v>44600.666666666664</c:v>
                </c:pt>
                <c:pt idx="209">
                  <c:v>44601.666666666664</c:v>
                </c:pt>
                <c:pt idx="210">
                  <c:v>44602.666666666664</c:v>
                </c:pt>
                <c:pt idx="211">
                  <c:v>44603.666666666664</c:v>
                </c:pt>
                <c:pt idx="212">
                  <c:v>44606.666666666664</c:v>
                </c:pt>
                <c:pt idx="213">
                  <c:v>44607.666666666664</c:v>
                </c:pt>
                <c:pt idx="214">
                  <c:v>44608.666666666664</c:v>
                </c:pt>
                <c:pt idx="215">
                  <c:v>44609.666666666664</c:v>
                </c:pt>
                <c:pt idx="216">
                  <c:v>44610.666666666664</c:v>
                </c:pt>
                <c:pt idx="217">
                  <c:v>44614.666666666664</c:v>
                </c:pt>
                <c:pt idx="218">
                  <c:v>44615.666666666664</c:v>
                </c:pt>
                <c:pt idx="219">
                  <c:v>44616.666666666664</c:v>
                </c:pt>
                <c:pt idx="220">
                  <c:v>44617.666666666664</c:v>
                </c:pt>
                <c:pt idx="221">
                  <c:v>44620.666666666664</c:v>
                </c:pt>
                <c:pt idx="222">
                  <c:v>44621.666666666664</c:v>
                </c:pt>
                <c:pt idx="223">
                  <c:v>44622.666666666664</c:v>
                </c:pt>
                <c:pt idx="224">
                  <c:v>44623.666666666664</c:v>
                </c:pt>
                <c:pt idx="225">
                  <c:v>44624.666666666664</c:v>
                </c:pt>
                <c:pt idx="226">
                  <c:v>44627.666666666664</c:v>
                </c:pt>
                <c:pt idx="227">
                  <c:v>44628.666666666664</c:v>
                </c:pt>
                <c:pt idx="228">
                  <c:v>44629.666666666664</c:v>
                </c:pt>
                <c:pt idx="229">
                  <c:v>44630.666666666664</c:v>
                </c:pt>
                <c:pt idx="230">
                  <c:v>44631.666666666664</c:v>
                </c:pt>
                <c:pt idx="231">
                  <c:v>44634.666666666664</c:v>
                </c:pt>
                <c:pt idx="232">
                  <c:v>44635.666666666664</c:v>
                </c:pt>
                <c:pt idx="233">
                  <c:v>44636.666666666664</c:v>
                </c:pt>
                <c:pt idx="234">
                  <c:v>44637.666666666664</c:v>
                </c:pt>
                <c:pt idx="235">
                  <c:v>44638.666666666664</c:v>
                </c:pt>
                <c:pt idx="236">
                  <c:v>44641.666666666664</c:v>
                </c:pt>
                <c:pt idx="237">
                  <c:v>44642.666666666664</c:v>
                </c:pt>
                <c:pt idx="238">
                  <c:v>44643.666666666664</c:v>
                </c:pt>
                <c:pt idx="239">
                  <c:v>44644.666666666664</c:v>
                </c:pt>
                <c:pt idx="240">
                  <c:v>44645.666666666664</c:v>
                </c:pt>
                <c:pt idx="241">
                  <c:v>44648.666666666664</c:v>
                </c:pt>
                <c:pt idx="242">
                  <c:v>44649.666666666664</c:v>
                </c:pt>
                <c:pt idx="243">
                  <c:v>44650.666666666664</c:v>
                </c:pt>
                <c:pt idx="244">
                  <c:v>44651.666666666664</c:v>
                </c:pt>
                <c:pt idx="245">
                  <c:v>44652.666666666664</c:v>
                </c:pt>
                <c:pt idx="246">
                  <c:v>44655.666666666664</c:v>
                </c:pt>
                <c:pt idx="247">
                  <c:v>44656.666666666664</c:v>
                </c:pt>
                <c:pt idx="248">
                  <c:v>44657.666666666664</c:v>
                </c:pt>
                <c:pt idx="249">
                  <c:v>44658.666666666664</c:v>
                </c:pt>
                <c:pt idx="250">
                  <c:v>44659.666666666664</c:v>
                </c:pt>
                <c:pt idx="251">
                  <c:v>44662.666666666664</c:v>
                </c:pt>
                <c:pt idx="252">
                  <c:v>44663.666666666664</c:v>
                </c:pt>
                <c:pt idx="253">
                  <c:v>44664.666666666664</c:v>
                </c:pt>
                <c:pt idx="254">
                  <c:v>44665.666666666664</c:v>
                </c:pt>
                <c:pt idx="255">
                  <c:v>44669.666666666664</c:v>
                </c:pt>
                <c:pt idx="256">
                  <c:v>44670.666666666664</c:v>
                </c:pt>
                <c:pt idx="257">
                  <c:v>44671.666666666664</c:v>
                </c:pt>
                <c:pt idx="258">
                  <c:v>44672.666666666664</c:v>
                </c:pt>
                <c:pt idx="259">
                  <c:v>44673.666666666664</c:v>
                </c:pt>
                <c:pt idx="260">
                  <c:v>44676.666666666664</c:v>
                </c:pt>
                <c:pt idx="261">
                  <c:v>44677.666666666664</c:v>
                </c:pt>
                <c:pt idx="262">
                  <c:v>44678.666666666664</c:v>
                </c:pt>
                <c:pt idx="263">
                  <c:v>44679.666666666664</c:v>
                </c:pt>
                <c:pt idx="264">
                  <c:v>44680.666666666664</c:v>
                </c:pt>
                <c:pt idx="265">
                  <c:v>44683.666666666664</c:v>
                </c:pt>
                <c:pt idx="266">
                  <c:v>44684.666666666664</c:v>
                </c:pt>
                <c:pt idx="267">
                  <c:v>44685.666666666664</c:v>
                </c:pt>
                <c:pt idx="268">
                  <c:v>44686.666666666664</c:v>
                </c:pt>
                <c:pt idx="269">
                  <c:v>44687.666666666664</c:v>
                </c:pt>
                <c:pt idx="270">
                  <c:v>44690.666666666664</c:v>
                </c:pt>
                <c:pt idx="271">
                  <c:v>44691.666666666664</c:v>
                </c:pt>
                <c:pt idx="272">
                  <c:v>44692.666666666664</c:v>
                </c:pt>
                <c:pt idx="273">
                  <c:v>44693.666666666664</c:v>
                </c:pt>
                <c:pt idx="274">
                  <c:v>44694.666666666664</c:v>
                </c:pt>
                <c:pt idx="275">
                  <c:v>44697.666666666664</c:v>
                </c:pt>
                <c:pt idx="276">
                  <c:v>44698.666666666664</c:v>
                </c:pt>
                <c:pt idx="277">
                  <c:v>44699.666666666664</c:v>
                </c:pt>
                <c:pt idx="278">
                  <c:v>44700.666666666664</c:v>
                </c:pt>
                <c:pt idx="279">
                  <c:v>44701.666666666664</c:v>
                </c:pt>
                <c:pt idx="280">
                  <c:v>44704.666666666664</c:v>
                </c:pt>
                <c:pt idx="281">
                  <c:v>44705.666666666664</c:v>
                </c:pt>
                <c:pt idx="282">
                  <c:v>44706.666666666664</c:v>
                </c:pt>
                <c:pt idx="283">
                  <c:v>44707.666666666664</c:v>
                </c:pt>
                <c:pt idx="284">
                  <c:v>44708.666666666664</c:v>
                </c:pt>
                <c:pt idx="285">
                  <c:v>44712.666666666664</c:v>
                </c:pt>
                <c:pt idx="286">
                  <c:v>44713.666666666664</c:v>
                </c:pt>
                <c:pt idx="287">
                  <c:v>44714.666666666664</c:v>
                </c:pt>
                <c:pt idx="288">
                  <c:v>44715.666666666664</c:v>
                </c:pt>
                <c:pt idx="289">
                  <c:v>44718.666666666664</c:v>
                </c:pt>
                <c:pt idx="290">
                  <c:v>44719.666666666664</c:v>
                </c:pt>
                <c:pt idx="291">
                  <c:v>44720.666666666664</c:v>
                </c:pt>
                <c:pt idx="292">
                  <c:v>44721.666666666664</c:v>
                </c:pt>
                <c:pt idx="293">
                  <c:v>44722.666666666664</c:v>
                </c:pt>
                <c:pt idx="294">
                  <c:v>44725.666666666664</c:v>
                </c:pt>
                <c:pt idx="295">
                  <c:v>44726.666666666664</c:v>
                </c:pt>
                <c:pt idx="296">
                  <c:v>44727.666666666664</c:v>
                </c:pt>
                <c:pt idx="297">
                  <c:v>44728.666666666664</c:v>
                </c:pt>
                <c:pt idx="298">
                  <c:v>44729.666666666664</c:v>
                </c:pt>
                <c:pt idx="299">
                  <c:v>44733.666666666664</c:v>
                </c:pt>
                <c:pt idx="300">
                  <c:v>44734.666666666664</c:v>
                </c:pt>
                <c:pt idx="301">
                  <c:v>44735.666666666664</c:v>
                </c:pt>
                <c:pt idx="302">
                  <c:v>44736.666666666664</c:v>
                </c:pt>
                <c:pt idx="303">
                  <c:v>44739.666666666664</c:v>
                </c:pt>
                <c:pt idx="304">
                  <c:v>44740.666666666664</c:v>
                </c:pt>
                <c:pt idx="305">
                  <c:v>44741.666666666664</c:v>
                </c:pt>
                <c:pt idx="306">
                  <c:v>44742.666666666664</c:v>
                </c:pt>
                <c:pt idx="307">
                  <c:v>44743.666666666664</c:v>
                </c:pt>
                <c:pt idx="308">
                  <c:v>44747.666666666664</c:v>
                </c:pt>
                <c:pt idx="309">
                  <c:v>44748.666666666664</c:v>
                </c:pt>
                <c:pt idx="310">
                  <c:v>44749.666666666664</c:v>
                </c:pt>
                <c:pt idx="311">
                  <c:v>44750.666666666664</c:v>
                </c:pt>
                <c:pt idx="312">
                  <c:v>44753.666666666664</c:v>
                </c:pt>
                <c:pt idx="313">
                  <c:v>44754.666666666664</c:v>
                </c:pt>
                <c:pt idx="314">
                  <c:v>44755.666666666664</c:v>
                </c:pt>
                <c:pt idx="315">
                  <c:v>44756.666666666664</c:v>
                </c:pt>
                <c:pt idx="316">
                  <c:v>44757.666666666664</c:v>
                </c:pt>
                <c:pt idx="317">
                  <c:v>44760.666666666664</c:v>
                </c:pt>
                <c:pt idx="318">
                  <c:v>44761.666666666664</c:v>
                </c:pt>
                <c:pt idx="319">
                  <c:v>44762.666666666664</c:v>
                </c:pt>
                <c:pt idx="320">
                  <c:v>44763.666666666664</c:v>
                </c:pt>
                <c:pt idx="321">
                  <c:v>44764.666666666664</c:v>
                </c:pt>
                <c:pt idx="322">
                  <c:v>44767.666666666664</c:v>
                </c:pt>
                <c:pt idx="323">
                  <c:v>44768.666666666664</c:v>
                </c:pt>
                <c:pt idx="324">
                  <c:v>44769.666666666664</c:v>
                </c:pt>
                <c:pt idx="325">
                  <c:v>44770.666666666664</c:v>
                </c:pt>
                <c:pt idx="326">
                  <c:v>44771.666666666664</c:v>
                </c:pt>
                <c:pt idx="327">
                  <c:v>44774.666666666664</c:v>
                </c:pt>
                <c:pt idx="328">
                  <c:v>44775.666666666664</c:v>
                </c:pt>
                <c:pt idx="329">
                  <c:v>44776.666666666664</c:v>
                </c:pt>
                <c:pt idx="330">
                  <c:v>44777.666666666664</c:v>
                </c:pt>
                <c:pt idx="331">
                  <c:v>44778.666666666664</c:v>
                </c:pt>
                <c:pt idx="332">
                  <c:v>44781.666666666664</c:v>
                </c:pt>
                <c:pt idx="333">
                  <c:v>44782.666666666664</c:v>
                </c:pt>
                <c:pt idx="334">
                  <c:v>44783.666666666664</c:v>
                </c:pt>
                <c:pt idx="335">
                  <c:v>44784.666666666664</c:v>
                </c:pt>
                <c:pt idx="336">
                  <c:v>44785.666666666664</c:v>
                </c:pt>
                <c:pt idx="337">
                  <c:v>44788.666666666664</c:v>
                </c:pt>
                <c:pt idx="338">
                  <c:v>44789.666666666664</c:v>
                </c:pt>
                <c:pt idx="339">
                  <c:v>44790.666666666664</c:v>
                </c:pt>
                <c:pt idx="340">
                  <c:v>44791.666666666664</c:v>
                </c:pt>
                <c:pt idx="341">
                  <c:v>44792.666666666664</c:v>
                </c:pt>
                <c:pt idx="342">
                  <c:v>44795.666666666664</c:v>
                </c:pt>
                <c:pt idx="343">
                  <c:v>44796.666666666664</c:v>
                </c:pt>
                <c:pt idx="344">
                  <c:v>44797.666666666664</c:v>
                </c:pt>
                <c:pt idx="345">
                  <c:v>44798.666666666664</c:v>
                </c:pt>
                <c:pt idx="346">
                  <c:v>44799.666666666664</c:v>
                </c:pt>
                <c:pt idx="347">
                  <c:v>44802.666666666664</c:v>
                </c:pt>
                <c:pt idx="348">
                  <c:v>44803.666666666664</c:v>
                </c:pt>
                <c:pt idx="349">
                  <c:v>44804.666666666664</c:v>
                </c:pt>
                <c:pt idx="350">
                  <c:v>44805.666666666664</c:v>
                </c:pt>
                <c:pt idx="351">
                  <c:v>44806.666666666664</c:v>
                </c:pt>
                <c:pt idx="352">
                  <c:v>44810.666666666664</c:v>
                </c:pt>
                <c:pt idx="353">
                  <c:v>44811.666666666664</c:v>
                </c:pt>
                <c:pt idx="354">
                  <c:v>44812.666666666664</c:v>
                </c:pt>
                <c:pt idx="355">
                  <c:v>44813.666666666664</c:v>
                </c:pt>
                <c:pt idx="356">
                  <c:v>44816.666666666664</c:v>
                </c:pt>
                <c:pt idx="357">
                  <c:v>44817.666666666664</c:v>
                </c:pt>
                <c:pt idx="358">
                  <c:v>44818.666666666664</c:v>
                </c:pt>
                <c:pt idx="359">
                  <c:v>44819.666666666664</c:v>
                </c:pt>
                <c:pt idx="360">
                  <c:v>44820.666666666664</c:v>
                </c:pt>
                <c:pt idx="361">
                  <c:v>44823.666666666664</c:v>
                </c:pt>
                <c:pt idx="362">
                  <c:v>44824.666666666664</c:v>
                </c:pt>
                <c:pt idx="363">
                  <c:v>44825.666666666664</c:v>
                </c:pt>
                <c:pt idx="364">
                  <c:v>44826.666666666664</c:v>
                </c:pt>
                <c:pt idx="365">
                  <c:v>44827.666666666664</c:v>
                </c:pt>
                <c:pt idx="366">
                  <c:v>44830.666666666664</c:v>
                </c:pt>
                <c:pt idx="367">
                  <c:v>44831.666666666664</c:v>
                </c:pt>
                <c:pt idx="368">
                  <c:v>44832.666666666664</c:v>
                </c:pt>
                <c:pt idx="369">
                  <c:v>44833.666666666664</c:v>
                </c:pt>
                <c:pt idx="370">
                  <c:v>44834.666666666664</c:v>
                </c:pt>
                <c:pt idx="371">
                  <c:v>44837.666666666664</c:v>
                </c:pt>
                <c:pt idx="372">
                  <c:v>44838.666666666664</c:v>
                </c:pt>
                <c:pt idx="373">
                  <c:v>44839.666666666664</c:v>
                </c:pt>
                <c:pt idx="374">
                  <c:v>44840.666666666664</c:v>
                </c:pt>
                <c:pt idx="375">
                  <c:v>44841.666666666664</c:v>
                </c:pt>
                <c:pt idx="376">
                  <c:v>44844.666666666664</c:v>
                </c:pt>
                <c:pt idx="377">
                  <c:v>44845.666666666664</c:v>
                </c:pt>
                <c:pt idx="378">
                  <c:v>44846.666666666664</c:v>
                </c:pt>
                <c:pt idx="379">
                  <c:v>44847.666666666664</c:v>
                </c:pt>
                <c:pt idx="380">
                  <c:v>44848.666666666664</c:v>
                </c:pt>
                <c:pt idx="381">
                  <c:v>44851.666666666664</c:v>
                </c:pt>
                <c:pt idx="382">
                  <c:v>44852.666666666664</c:v>
                </c:pt>
                <c:pt idx="383">
                  <c:v>44853.666666666664</c:v>
                </c:pt>
                <c:pt idx="384">
                  <c:v>44854.666666666664</c:v>
                </c:pt>
                <c:pt idx="385">
                  <c:v>44855.666666666664</c:v>
                </c:pt>
                <c:pt idx="386">
                  <c:v>44858.666666666664</c:v>
                </c:pt>
                <c:pt idx="387">
                  <c:v>44859.666666666664</c:v>
                </c:pt>
                <c:pt idx="388">
                  <c:v>44860.666666666664</c:v>
                </c:pt>
                <c:pt idx="389">
                  <c:v>44861.666666666664</c:v>
                </c:pt>
                <c:pt idx="390">
                  <c:v>44862.666666666664</c:v>
                </c:pt>
                <c:pt idx="391">
                  <c:v>44865.666666666664</c:v>
                </c:pt>
                <c:pt idx="392">
                  <c:v>44866.666666666664</c:v>
                </c:pt>
                <c:pt idx="393">
                  <c:v>44867.666666666664</c:v>
                </c:pt>
                <c:pt idx="394">
                  <c:v>44868.666666666664</c:v>
                </c:pt>
                <c:pt idx="395">
                  <c:v>44869.666666666664</c:v>
                </c:pt>
                <c:pt idx="396">
                  <c:v>44872.666666666664</c:v>
                </c:pt>
                <c:pt idx="397">
                  <c:v>44873.666666666664</c:v>
                </c:pt>
                <c:pt idx="398">
                  <c:v>44874.666666666664</c:v>
                </c:pt>
                <c:pt idx="399">
                  <c:v>44875.666666666664</c:v>
                </c:pt>
                <c:pt idx="400">
                  <c:v>44876.666666666664</c:v>
                </c:pt>
                <c:pt idx="401">
                  <c:v>44879.666666666664</c:v>
                </c:pt>
                <c:pt idx="402">
                  <c:v>44880.666666666664</c:v>
                </c:pt>
                <c:pt idx="403">
                  <c:v>44881.666666666664</c:v>
                </c:pt>
                <c:pt idx="404">
                  <c:v>44882.666666666664</c:v>
                </c:pt>
                <c:pt idx="405">
                  <c:v>44883.666666666664</c:v>
                </c:pt>
                <c:pt idx="406">
                  <c:v>44886.666666666664</c:v>
                </c:pt>
                <c:pt idx="407">
                  <c:v>44887.666666666664</c:v>
                </c:pt>
                <c:pt idx="408">
                  <c:v>44888.666666666664</c:v>
                </c:pt>
                <c:pt idx="409">
                  <c:v>44890.545138888891</c:v>
                </c:pt>
                <c:pt idx="410">
                  <c:v>44893.666666666664</c:v>
                </c:pt>
                <c:pt idx="411">
                  <c:v>44894.666666666664</c:v>
                </c:pt>
                <c:pt idx="412">
                  <c:v>44895.666666666664</c:v>
                </c:pt>
                <c:pt idx="413">
                  <c:v>44896.666666666664</c:v>
                </c:pt>
                <c:pt idx="414">
                  <c:v>44897.666666666664</c:v>
                </c:pt>
                <c:pt idx="415">
                  <c:v>44900.666666666664</c:v>
                </c:pt>
                <c:pt idx="416">
                  <c:v>44901.666666666664</c:v>
                </c:pt>
                <c:pt idx="417">
                  <c:v>44902.666666666664</c:v>
                </c:pt>
                <c:pt idx="418">
                  <c:v>44903.666666666664</c:v>
                </c:pt>
                <c:pt idx="419">
                  <c:v>44904.666666666664</c:v>
                </c:pt>
                <c:pt idx="420">
                  <c:v>44907.666666666664</c:v>
                </c:pt>
                <c:pt idx="421">
                  <c:v>44908.666666666664</c:v>
                </c:pt>
                <c:pt idx="422">
                  <c:v>44909.666666666664</c:v>
                </c:pt>
                <c:pt idx="423">
                  <c:v>44910.666666666664</c:v>
                </c:pt>
                <c:pt idx="424">
                  <c:v>44911.666666666664</c:v>
                </c:pt>
                <c:pt idx="425">
                  <c:v>44914.666666666664</c:v>
                </c:pt>
                <c:pt idx="426">
                  <c:v>44915.666666666664</c:v>
                </c:pt>
                <c:pt idx="427">
                  <c:v>44916.666666666664</c:v>
                </c:pt>
                <c:pt idx="428">
                  <c:v>44917.666666666664</c:v>
                </c:pt>
                <c:pt idx="429">
                  <c:v>44918.666666666664</c:v>
                </c:pt>
                <c:pt idx="430">
                  <c:v>44922.666666666664</c:v>
                </c:pt>
                <c:pt idx="431">
                  <c:v>44923.666666666664</c:v>
                </c:pt>
                <c:pt idx="432">
                  <c:v>44924.666666666664</c:v>
                </c:pt>
                <c:pt idx="433">
                  <c:v>44925.666666666664</c:v>
                </c:pt>
                <c:pt idx="434">
                  <c:v>44929.666666666664</c:v>
                </c:pt>
                <c:pt idx="435">
                  <c:v>44930.666666666664</c:v>
                </c:pt>
                <c:pt idx="436">
                  <c:v>44931.666666666664</c:v>
                </c:pt>
                <c:pt idx="437">
                  <c:v>44932.666666666664</c:v>
                </c:pt>
                <c:pt idx="438">
                  <c:v>44935.666666666664</c:v>
                </c:pt>
                <c:pt idx="439">
                  <c:v>44936.666666666664</c:v>
                </c:pt>
                <c:pt idx="440">
                  <c:v>44937.666666666664</c:v>
                </c:pt>
                <c:pt idx="441">
                  <c:v>44938.666666666664</c:v>
                </c:pt>
                <c:pt idx="442">
                  <c:v>44939.666666666664</c:v>
                </c:pt>
                <c:pt idx="443">
                  <c:v>44943.666666666664</c:v>
                </c:pt>
                <c:pt idx="444">
                  <c:v>44944.666666666664</c:v>
                </c:pt>
                <c:pt idx="445">
                  <c:v>44945.666666666664</c:v>
                </c:pt>
                <c:pt idx="446">
                  <c:v>44946.666666666664</c:v>
                </c:pt>
                <c:pt idx="447">
                  <c:v>44949.666666666664</c:v>
                </c:pt>
                <c:pt idx="448">
                  <c:v>44950.666666666664</c:v>
                </c:pt>
                <c:pt idx="449">
                  <c:v>44951.666666666664</c:v>
                </c:pt>
                <c:pt idx="450">
                  <c:v>44952.666666666664</c:v>
                </c:pt>
                <c:pt idx="451">
                  <c:v>44953.666666666664</c:v>
                </c:pt>
                <c:pt idx="452">
                  <c:v>44956.666666666664</c:v>
                </c:pt>
                <c:pt idx="453">
                  <c:v>44957.666666666664</c:v>
                </c:pt>
                <c:pt idx="454">
                  <c:v>44958.666666666664</c:v>
                </c:pt>
                <c:pt idx="455">
                  <c:v>44959.666666666664</c:v>
                </c:pt>
                <c:pt idx="456">
                  <c:v>44960.666666666664</c:v>
                </c:pt>
                <c:pt idx="457">
                  <c:v>44963.666666666664</c:v>
                </c:pt>
                <c:pt idx="458">
                  <c:v>44964.666666666664</c:v>
                </c:pt>
                <c:pt idx="459">
                  <c:v>44965.666666666664</c:v>
                </c:pt>
                <c:pt idx="460">
                  <c:v>44966.666666666664</c:v>
                </c:pt>
                <c:pt idx="461">
                  <c:v>44967.666666666664</c:v>
                </c:pt>
                <c:pt idx="462">
                  <c:v>44970.666666666664</c:v>
                </c:pt>
                <c:pt idx="463">
                  <c:v>44971.666666666664</c:v>
                </c:pt>
                <c:pt idx="464">
                  <c:v>44972.666666666664</c:v>
                </c:pt>
                <c:pt idx="465">
                  <c:v>44973.666666666664</c:v>
                </c:pt>
                <c:pt idx="466">
                  <c:v>44974.666666666664</c:v>
                </c:pt>
                <c:pt idx="467">
                  <c:v>44978.666666666664</c:v>
                </c:pt>
                <c:pt idx="468">
                  <c:v>44979.666666666664</c:v>
                </c:pt>
                <c:pt idx="469">
                  <c:v>44980.666666666664</c:v>
                </c:pt>
                <c:pt idx="470">
                  <c:v>44981.666666666664</c:v>
                </c:pt>
                <c:pt idx="471">
                  <c:v>44984.666666666664</c:v>
                </c:pt>
                <c:pt idx="472">
                  <c:v>44985.666666666664</c:v>
                </c:pt>
                <c:pt idx="473">
                  <c:v>44986.666666666664</c:v>
                </c:pt>
                <c:pt idx="474">
                  <c:v>44987.666666666664</c:v>
                </c:pt>
                <c:pt idx="475">
                  <c:v>44988.666666666664</c:v>
                </c:pt>
                <c:pt idx="476">
                  <c:v>44991.666666666664</c:v>
                </c:pt>
                <c:pt idx="477">
                  <c:v>44992.666666666664</c:v>
                </c:pt>
                <c:pt idx="478">
                  <c:v>44993.666666666664</c:v>
                </c:pt>
                <c:pt idx="479">
                  <c:v>44994.666666666664</c:v>
                </c:pt>
                <c:pt idx="480">
                  <c:v>44995.666666666664</c:v>
                </c:pt>
                <c:pt idx="481">
                  <c:v>44998.666666666664</c:v>
                </c:pt>
                <c:pt idx="482">
                  <c:v>44999.666666666664</c:v>
                </c:pt>
                <c:pt idx="483">
                  <c:v>45000.666666666664</c:v>
                </c:pt>
                <c:pt idx="484">
                  <c:v>45001.666666666664</c:v>
                </c:pt>
                <c:pt idx="485">
                  <c:v>45002.666666666664</c:v>
                </c:pt>
                <c:pt idx="486">
                  <c:v>45005.666666666664</c:v>
                </c:pt>
                <c:pt idx="487">
                  <c:v>45006.666666666664</c:v>
                </c:pt>
                <c:pt idx="488">
                  <c:v>45007.666666666664</c:v>
                </c:pt>
                <c:pt idx="489">
                  <c:v>45008.666666666664</c:v>
                </c:pt>
                <c:pt idx="490">
                  <c:v>45009.666666666664</c:v>
                </c:pt>
                <c:pt idx="491">
                  <c:v>45012.666666666664</c:v>
                </c:pt>
                <c:pt idx="492">
                  <c:v>45013.666666666664</c:v>
                </c:pt>
                <c:pt idx="493">
                  <c:v>45014.666666666664</c:v>
                </c:pt>
                <c:pt idx="494">
                  <c:v>45015.666666666664</c:v>
                </c:pt>
                <c:pt idx="495">
                  <c:v>45016.666666666664</c:v>
                </c:pt>
                <c:pt idx="496">
                  <c:v>45019.666666666664</c:v>
                </c:pt>
                <c:pt idx="497">
                  <c:v>45020.666666666664</c:v>
                </c:pt>
                <c:pt idx="498">
                  <c:v>45021.666666666664</c:v>
                </c:pt>
                <c:pt idx="499">
                  <c:v>45022.666666666664</c:v>
                </c:pt>
                <c:pt idx="500">
                  <c:v>45026.666666666664</c:v>
                </c:pt>
                <c:pt idx="501">
                  <c:v>45027.666666666664</c:v>
                </c:pt>
                <c:pt idx="502">
                  <c:v>45028.666666666664</c:v>
                </c:pt>
                <c:pt idx="503">
                  <c:v>45029.666666666664</c:v>
                </c:pt>
                <c:pt idx="504">
                  <c:v>45030.666666666664</c:v>
                </c:pt>
                <c:pt idx="505">
                  <c:v>45033.666666666664</c:v>
                </c:pt>
                <c:pt idx="506">
                  <c:v>45034.666666666664</c:v>
                </c:pt>
                <c:pt idx="507">
                  <c:v>45035.666666666664</c:v>
                </c:pt>
                <c:pt idx="508">
                  <c:v>45036.666666666664</c:v>
                </c:pt>
                <c:pt idx="509">
                  <c:v>45037.666666666664</c:v>
                </c:pt>
                <c:pt idx="510">
                  <c:v>45040.666666666664</c:v>
                </c:pt>
                <c:pt idx="511">
                  <c:v>45041.666666666664</c:v>
                </c:pt>
                <c:pt idx="512">
                  <c:v>45042.666666666664</c:v>
                </c:pt>
                <c:pt idx="513">
                  <c:v>45043.666666666664</c:v>
                </c:pt>
                <c:pt idx="514">
                  <c:v>45044.666666666664</c:v>
                </c:pt>
                <c:pt idx="515">
                  <c:v>45047.666666666664</c:v>
                </c:pt>
                <c:pt idx="516">
                  <c:v>45048.666666666664</c:v>
                </c:pt>
                <c:pt idx="517">
                  <c:v>45049.666666666664</c:v>
                </c:pt>
                <c:pt idx="518">
                  <c:v>45050.666666666664</c:v>
                </c:pt>
                <c:pt idx="519">
                  <c:v>45051.666666666664</c:v>
                </c:pt>
                <c:pt idx="520">
                  <c:v>45054.666666666664</c:v>
                </c:pt>
                <c:pt idx="521">
                  <c:v>45055.666666666664</c:v>
                </c:pt>
                <c:pt idx="522">
                  <c:v>45056.666666666664</c:v>
                </c:pt>
                <c:pt idx="523">
                  <c:v>45057.666666666664</c:v>
                </c:pt>
                <c:pt idx="524">
                  <c:v>45058.666666666664</c:v>
                </c:pt>
                <c:pt idx="525">
                  <c:v>45061.666666666664</c:v>
                </c:pt>
                <c:pt idx="526">
                  <c:v>45062.666666666664</c:v>
                </c:pt>
                <c:pt idx="527">
                  <c:v>45063.666666666664</c:v>
                </c:pt>
                <c:pt idx="528">
                  <c:v>45064.666666666664</c:v>
                </c:pt>
                <c:pt idx="529">
                  <c:v>45065.666666666664</c:v>
                </c:pt>
                <c:pt idx="530">
                  <c:v>45068.666666666664</c:v>
                </c:pt>
                <c:pt idx="531">
                  <c:v>45069.666666666664</c:v>
                </c:pt>
                <c:pt idx="532">
                  <c:v>45070.666666666664</c:v>
                </c:pt>
                <c:pt idx="533">
                  <c:v>45071.666666666664</c:v>
                </c:pt>
                <c:pt idx="534">
                  <c:v>45072.666666666664</c:v>
                </c:pt>
                <c:pt idx="535">
                  <c:v>45076.666666666664</c:v>
                </c:pt>
                <c:pt idx="536">
                  <c:v>45077.666666666664</c:v>
                </c:pt>
                <c:pt idx="537">
                  <c:v>45078.666666666664</c:v>
                </c:pt>
                <c:pt idx="538">
                  <c:v>45079.666666666664</c:v>
                </c:pt>
                <c:pt idx="539">
                  <c:v>45082.666666666664</c:v>
                </c:pt>
                <c:pt idx="540">
                  <c:v>45083.666666666664</c:v>
                </c:pt>
                <c:pt idx="541">
                  <c:v>45084.666666666664</c:v>
                </c:pt>
                <c:pt idx="542">
                  <c:v>45085.666666666664</c:v>
                </c:pt>
                <c:pt idx="543">
                  <c:v>45086.666666666664</c:v>
                </c:pt>
                <c:pt idx="544">
                  <c:v>45089.666666666664</c:v>
                </c:pt>
                <c:pt idx="545">
                  <c:v>45090.666666666664</c:v>
                </c:pt>
                <c:pt idx="546">
                  <c:v>45091.666666666664</c:v>
                </c:pt>
                <c:pt idx="547">
                  <c:v>45092.666666666664</c:v>
                </c:pt>
                <c:pt idx="548">
                  <c:v>45093.666666666664</c:v>
                </c:pt>
                <c:pt idx="549">
                  <c:v>45097.666666666664</c:v>
                </c:pt>
                <c:pt idx="550">
                  <c:v>45098.666666666664</c:v>
                </c:pt>
                <c:pt idx="551">
                  <c:v>45099.666666666664</c:v>
                </c:pt>
                <c:pt idx="552">
                  <c:v>45100.666666666664</c:v>
                </c:pt>
                <c:pt idx="553">
                  <c:v>45103.666666666664</c:v>
                </c:pt>
                <c:pt idx="554">
                  <c:v>45104.666666666664</c:v>
                </c:pt>
                <c:pt idx="555">
                  <c:v>45105.666666666664</c:v>
                </c:pt>
                <c:pt idx="556">
                  <c:v>45106.666666666664</c:v>
                </c:pt>
                <c:pt idx="557">
                  <c:v>45107.666666666664</c:v>
                </c:pt>
                <c:pt idx="558">
                  <c:v>45110.545138888891</c:v>
                </c:pt>
                <c:pt idx="559">
                  <c:v>45112.666666666664</c:v>
                </c:pt>
                <c:pt idx="560">
                  <c:v>45113.666666666664</c:v>
                </c:pt>
                <c:pt idx="561">
                  <c:v>45114.666666666664</c:v>
                </c:pt>
                <c:pt idx="562">
                  <c:v>45117.666666666664</c:v>
                </c:pt>
                <c:pt idx="563">
                  <c:v>45118.666666666664</c:v>
                </c:pt>
                <c:pt idx="564">
                  <c:v>45119.666666666664</c:v>
                </c:pt>
                <c:pt idx="565">
                  <c:v>45120.666666666664</c:v>
                </c:pt>
                <c:pt idx="566">
                  <c:v>45121.666666666664</c:v>
                </c:pt>
                <c:pt idx="567">
                  <c:v>45124.666666666664</c:v>
                </c:pt>
                <c:pt idx="568">
                  <c:v>45125.666666666664</c:v>
                </c:pt>
                <c:pt idx="569">
                  <c:v>45126.666666666664</c:v>
                </c:pt>
                <c:pt idx="570">
                  <c:v>45127.666666666664</c:v>
                </c:pt>
                <c:pt idx="571">
                  <c:v>45128.666666666664</c:v>
                </c:pt>
                <c:pt idx="572">
                  <c:v>45131.666666666664</c:v>
                </c:pt>
                <c:pt idx="573">
                  <c:v>45132.666666666664</c:v>
                </c:pt>
                <c:pt idx="574">
                  <c:v>45133.666666666664</c:v>
                </c:pt>
                <c:pt idx="575">
                  <c:v>45134.666666666664</c:v>
                </c:pt>
                <c:pt idx="576">
                  <c:v>45135.666666666664</c:v>
                </c:pt>
                <c:pt idx="577">
                  <c:v>45138.666666666664</c:v>
                </c:pt>
                <c:pt idx="578">
                  <c:v>45139.666666666664</c:v>
                </c:pt>
                <c:pt idx="579">
                  <c:v>45140.666666666664</c:v>
                </c:pt>
                <c:pt idx="580">
                  <c:v>45141.666666666664</c:v>
                </c:pt>
                <c:pt idx="581">
                  <c:v>45142.666666666664</c:v>
                </c:pt>
                <c:pt idx="582">
                  <c:v>45145.666666666664</c:v>
                </c:pt>
                <c:pt idx="583">
                  <c:v>45146.666666666664</c:v>
                </c:pt>
                <c:pt idx="584">
                  <c:v>45147.666666666664</c:v>
                </c:pt>
                <c:pt idx="585">
                  <c:v>45148.666666666664</c:v>
                </c:pt>
                <c:pt idx="586">
                  <c:v>45149.666666666664</c:v>
                </c:pt>
                <c:pt idx="587">
                  <c:v>45152.666666666664</c:v>
                </c:pt>
                <c:pt idx="588">
                  <c:v>45153.666666666664</c:v>
                </c:pt>
                <c:pt idx="589">
                  <c:v>45154.666666666664</c:v>
                </c:pt>
                <c:pt idx="590">
                  <c:v>45155.666666666664</c:v>
                </c:pt>
                <c:pt idx="591">
                  <c:v>45156.666666666664</c:v>
                </c:pt>
                <c:pt idx="592">
                  <c:v>45159.666666666664</c:v>
                </c:pt>
                <c:pt idx="593">
                  <c:v>45160.666666666664</c:v>
                </c:pt>
                <c:pt idx="594">
                  <c:v>45161.666666666664</c:v>
                </c:pt>
                <c:pt idx="595">
                  <c:v>45162.666666666664</c:v>
                </c:pt>
                <c:pt idx="596">
                  <c:v>45163.666666666664</c:v>
                </c:pt>
                <c:pt idx="597">
                  <c:v>45166.666666666664</c:v>
                </c:pt>
                <c:pt idx="598">
                  <c:v>45167.666666666664</c:v>
                </c:pt>
                <c:pt idx="599">
                  <c:v>45168.666666666664</c:v>
                </c:pt>
                <c:pt idx="600">
                  <c:v>45169.666666666664</c:v>
                </c:pt>
                <c:pt idx="601">
                  <c:v>45170.666666666664</c:v>
                </c:pt>
                <c:pt idx="602">
                  <c:v>45174.666666666664</c:v>
                </c:pt>
                <c:pt idx="603">
                  <c:v>45175.666666666664</c:v>
                </c:pt>
                <c:pt idx="604">
                  <c:v>45176.666666666664</c:v>
                </c:pt>
                <c:pt idx="605">
                  <c:v>45177.666666666664</c:v>
                </c:pt>
                <c:pt idx="606">
                  <c:v>45180.666666666664</c:v>
                </c:pt>
                <c:pt idx="607">
                  <c:v>45181.666666666664</c:v>
                </c:pt>
                <c:pt idx="608">
                  <c:v>45182.666666666664</c:v>
                </c:pt>
                <c:pt idx="609">
                  <c:v>45183.666666666664</c:v>
                </c:pt>
                <c:pt idx="610">
                  <c:v>45184.666666666664</c:v>
                </c:pt>
                <c:pt idx="611">
                  <c:v>45187.666666666664</c:v>
                </c:pt>
                <c:pt idx="612">
                  <c:v>45188.666666666664</c:v>
                </c:pt>
                <c:pt idx="613">
                  <c:v>45189.666666666664</c:v>
                </c:pt>
                <c:pt idx="614">
                  <c:v>45190.666666666664</c:v>
                </c:pt>
                <c:pt idx="615">
                  <c:v>45191.666666666664</c:v>
                </c:pt>
                <c:pt idx="616">
                  <c:v>45194.666666666664</c:v>
                </c:pt>
                <c:pt idx="617">
                  <c:v>45195.666666666664</c:v>
                </c:pt>
                <c:pt idx="618">
                  <c:v>45196.666666666664</c:v>
                </c:pt>
                <c:pt idx="619">
                  <c:v>45197.666666666664</c:v>
                </c:pt>
                <c:pt idx="620">
                  <c:v>45198.666666666664</c:v>
                </c:pt>
                <c:pt idx="621">
                  <c:v>45201.666666666664</c:v>
                </c:pt>
                <c:pt idx="622">
                  <c:v>45202.666666666664</c:v>
                </c:pt>
                <c:pt idx="623">
                  <c:v>45203.666666666664</c:v>
                </c:pt>
                <c:pt idx="624">
                  <c:v>45204.666666666664</c:v>
                </c:pt>
                <c:pt idx="625">
                  <c:v>45205.666666666664</c:v>
                </c:pt>
                <c:pt idx="626">
                  <c:v>45208.666666666664</c:v>
                </c:pt>
                <c:pt idx="627">
                  <c:v>45209.666666666664</c:v>
                </c:pt>
                <c:pt idx="628">
                  <c:v>45210.666666666664</c:v>
                </c:pt>
                <c:pt idx="629">
                  <c:v>45211.666666666664</c:v>
                </c:pt>
                <c:pt idx="630">
                  <c:v>45212.666666666664</c:v>
                </c:pt>
                <c:pt idx="631">
                  <c:v>45215.666666666664</c:v>
                </c:pt>
                <c:pt idx="632">
                  <c:v>45216.666666666664</c:v>
                </c:pt>
                <c:pt idx="633">
                  <c:v>45217.666666666664</c:v>
                </c:pt>
                <c:pt idx="634">
                  <c:v>45218.666666666664</c:v>
                </c:pt>
                <c:pt idx="635">
                  <c:v>45219.666666666664</c:v>
                </c:pt>
                <c:pt idx="636">
                  <c:v>45222.666666666664</c:v>
                </c:pt>
                <c:pt idx="637">
                  <c:v>45223.666666666664</c:v>
                </c:pt>
                <c:pt idx="638">
                  <c:v>45224.666666666664</c:v>
                </c:pt>
                <c:pt idx="639">
                  <c:v>45225.666666666664</c:v>
                </c:pt>
                <c:pt idx="640">
                  <c:v>45226.666666666664</c:v>
                </c:pt>
                <c:pt idx="641">
                  <c:v>45229.666666666664</c:v>
                </c:pt>
                <c:pt idx="642">
                  <c:v>45230.666666666664</c:v>
                </c:pt>
                <c:pt idx="643">
                  <c:v>45231.666666666664</c:v>
                </c:pt>
                <c:pt idx="644">
                  <c:v>45232.666666666664</c:v>
                </c:pt>
                <c:pt idx="645">
                  <c:v>45233.666666666664</c:v>
                </c:pt>
                <c:pt idx="646">
                  <c:v>45236.666666666664</c:v>
                </c:pt>
                <c:pt idx="647">
                  <c:v>45237.666666666664</c:v>
                </c:pt>
                <c:pt idx="648">
                  <c:v>45238.666666666664</c:v>
                </c:pt>
                <c:pt idx="649">
                  <c:v>45239.666666666664</c:v>
                </c:pt>
                <c:pt idx="650">
                  <c:v>45240.666666666664</c:v>
                </c:pt>
                <c:pt idx="651">
                  <c:v>45243.666666666664</c:v>
                </c:pt>
                <c:pt idx="652">
                  <c:v>45244.666666666664</c:v>
                </c:pt>
                <c:pt idx="653">
                  <c:v>45245.666666666664</c:v>
                </c:pt>
                <c:pt idx="654">
                  <c:v>45246.666666666664</c:v>
                </c:pt>
                <c:pt idx="655">
                  <c:v>45247.666666666664</c:v>
                </c:pt>
                <c:pt idx="656">
                  <c:v>45250.666666666664</c:v>
                </c:pt>
                <c:pt idx="657">
                  <c:v>45251.666666666664</c:v>
                </c:pt>
                <c:pt idx="658">
                  <c:v>45252.666666666664</c:v>
                </c:pt>
                <c:pt idx="659">
                  <c:v>45254.545138888891</c:v>
                </c:pt>
                <c:pt idx="660">
                  <c:v>45257.666666666664</c:v>
                </c:pt>
                <c:pt idx="661">
                  <c:v>45258.666666666664</c:v>
                </c:pt>
                <c:pt idx="662">
                  <c:v>45259.666666666664</c:v>
                </c:pt>
                <c:pt idx="663">
                  <c:v>45260.666666666664</c:v>
                </c:pt>
                <c:pt idx="664">
                  <c:v>45261.666666666664</c:v>
                </c:pt>
                <c:pt idx="665">
                  <c:v>45264.666666666664</c:v>
                </c:pt>
                <c:pt idx="666">
                  <c:v>45265.666666666664</c:v>
                </c:pt>
                <c:pt idx="667">
                  <c:v>45266.666666666664</c:v>
                </c:pt>
                <c:pt idx="668">
                  <c:v>45267.666666666664</c:v>
                </c:pt>
                <c:pt idx="669">
                  <c:v>45268.666666666664</c:v>
                </c:pt>
                <c:pt idx="670">
                  <c:v>45271.666666666664</c:v>
                </c:pt>
                <c:pt idx="671">
                  <c:v>45272.666666666664</c:v>
                </c:pt>
                <c:pt idx="672">
                  <c:v>45273.666666666664</c:v>
                </c:pt>
                <c:pt idx="673">
                  <c:v>45274.666666666664</c:v>
                </c:pt>
                <c:pt idx="674">
                  <c:v>45275.666666666664</c:v>
                </c:pt>
                <c:pt idx="675">
                  <c:v>45278.666666666664</c:v>
                </c:pt>
                <c:pt idx="676">
                  <c:v>45279.666666666664</c:v>
                </c:pt>
                <c:pt idx="677">
                  <c:v>45280.666666666664</c:v>
                </c:pt>
                <c:pt idx="678">
                  <c:v>45281.666666666664</c:v>
                </c:pt>
                <c:pt idx="679">
                  <c:v>45282.666666666664</c:v>
                </c:pt>
                <c:pt idx="680">
                  <c:v>45286.666666666664</c:v>
                </c:pt>
                <c:pt idx="681">
                  <c:v>45287.666666666664</c:v>
                </c:pt>
                <c:pt idx="682">
                  <c:v>45288.666666666664</c:v>
                </c:pt>
                <c:pt idx="683">
                  <c:v>45289.666666666664</c:v>
                </c:pt>
                <c:pt idx="684">
                  <c:v>45293.666666666664</c:v>
                </c:pt>
                <c:pt idx="685">
                  <c:v>45294.666666666664</c:v>
                </c:pt>
                <c:pt idx="686">
                  <c:v>45295.666666666664</c:v>
                </c:pt>
                <c:pt idx="687">
                  <c:v>45296.666666666664</c:v>
                </c:pt>
                <c:pt idx="688">
                  <c:v>45299.666666666664</c:v>
                </c:pt>
                <c:pt idx="689">
                  <c:v>45300.666666666664</c:v>
                </c:pt>
                <c:pt idx="690">
                  <c:v>45301.666666666664</c:v>
                </c:pt>
                <c:pt idx="691">
                  <c:v>45302.666666666664</c:v>
                </c:pt>
                <c:pt idx="692">
                  <c:v>45303.666666666664</c:v>
                </c:pt>
                <c:pt idx="693">
                  <c:v>45307.666666666664</c:v>
                </c:pt>
                <c:pt idx="694">
                  <c:v>45308.666666666664</c:v>
                </c:pt>
                <c:pt idx="695">
                  <c:v>45309.666666666664</c:v>
                </c:pt>
                <c:pt idx="696">
                  <c:v>45310.666666666664</c:v>
                </c:pt>
                <c:pt idx="697">
                  <c:v>45313.666666666664</c:v>
                </c:pt>
                <c:pt idx="698">
                  <c:v>45314.666666666664</c:v>
                </c:pt>
                <c:pt idx="699">
                  <c:v>45315.666666666664</c:v>
                </c:pt>
                <c:pt idx="700">
                  <c:v>45316.666666666664</c:v>
                </c:pt>
                <c:pt idx="701">
                  <c:v>45317.666666666664</c:v>
                </c:pt>
                <c:pt idx="702">
                  <c:v>45320.666666666664</c:v>
                </c:pt>
                <c:pt idx="703">
                  <c:v>45321.666666666664</c:v>
                </c:pt>
                <c:pt idx="704">
                  <c:v>45322.666666666664</c:v>
                </c:pt>
                <c:pt idx="705">
                  <c:v>45323.666666666664</c:v>
                </c:pt>
                <c:pt idx="706">
                  <c:v>45324.666666666664</c:v>
                </c:pt>
                <c:pt idx="707">
                  <c:v>45327.666666666664</c:v>
                </c:pt>
                <c:pt idx="708">
                  <c:v>45328.666666666664</c:v>
                </c:pt>
                <c:pt idx="709">
                  <c:v>45329.666666666664</c:v>
                </c:pt>
                <c:pt idx="710">
                  <c:v>45330.666666666664</c:v>
                </c:pt>
                <c:pt idx="711">
                  <c:v>45331.666666666664</c:v>
                </c:pt>
                <c:pt idx="712">
                  <c:v>45334.666666666664</c:v>
                </c:pt>
                <c:pt idx="713">
                  <c:v>45335.666666666664</c:v>
                </c:pt>
                <c:pt idx="714">
                  <c:v>45336.666666666664</c:v>
                </c:pt>
                <c:pt idx="715">
                  <c:v>45337.666666666664</c:v>
                </c:pt>
                <c:pt idx="716">
                  <c:v>45338.666666666664</c:v>
                </c:pt>
                <c:pt idx="717">
                  <c:v>45342.666666666664</c:v>
                </c:pt>
                <c:pt idx="718">
                  <c:v>45343.666666666664</c:v>
                </c:pt>
                <c:pt idx="719">
                  <c:v>45344.666666666664</c:v>
                </c:pt>
                <c:pt idx="720">
                  <c:v>45345.666666666664</c:v>
                </c:pt>
                <c:pt idx="721">
                  <c:v>45348.666666666664</c:v>
                </c:pt>
                <c:pt idx="722">
                  <c:v>45349.666666666664</c:v>
                </c:pt>
                <c:pt idx="723">
                  <c:v>45350.666666666664</c:v>
                </c:pt>
                <c:pt idx="724">
                  <c:v>45351.666666666664</c:v>
                </c:pt>
                <c:pt idx="725">
                  <c:v>45352.666666666664</c:v>
                </c:pt>
                <c:pt idx="726">
                  <c:v>45355.666666666664</c:v>
                </c:pt>
                <c:pt idx="727">
                  <c:v>45356.666666666664</c:v>
                </c:pt>
                <c:pt idx="728">
                  <c:v>45357.666666666664</c:v>
                </c:pt>
                <c:pt idx="729">
                  <c:v>45358.666666666664</c:v>
                </c:pt>
                <c:pt idx="730">
                  <c:v>45359.666666666664</c:v>
                </c:pt>
                <c:pt idx="731">
                  <c:v>45362.666666666664</c:v>
                </c:pt>
                <c:pt idx="732">
                  <c:v>45363.666666666664</c:v>
                </c:pt>
                <c:pt idx="733">
                  <c:v>45364.666666666664</c:v>
                </c:pt>
                <c:pt idx="734">
                  <c:v>45365.666666666664</c:v>
                </c:pt>
                <c:pt idx="735">
                  <c:v>45366.666666666664</c:v>
                </c:pt>
                <c:pt idx="736">
                  <c:v>45369.666666666664</c:v>
                </c:pt>
                <c:pt idx="737">
                  <c:v>45370.666666666664</c:v>
                </c:pt>
                <c:pt idx="738">
                  <c:v>45371.666666666664</c:v>
                </c:pt>
                <c:pt idx="739">
                  <c:v>45372.666666666664</c:v>
                </c:pt>
                <c:pt idx="740">
                  <c:v>45373.666666666664</c:v>
                </c:pt>
                <c:pt idx="741">
                  <c:v>45376.666666666664</c:v>
                </c:pt>
                <c:pt idx="742">
                  <c:v>45377.666666666664</c:v>
                </c:pt>
                <c:pt idx="743">
                  <c:v>45378.666666666664</c:v>
                </c:pt>
                <c:pt idx="744">
                  <c:v>45379.666666666664</c:v>
                </c:pt>
                <c:pt idx="745">
                  <c:v>45383.666666666664</c:v>
                </c:pt>
                <c:pt idx="746">
                  <c:v>45384.666666666664</c:v>
                </c:pt>
                <c:pt idx="747">
                  <c:v>45385.666666666664</c:v>
                </c:pt>
                <c:pt idx="748">
                  <c:v>45386.666666666664</c:v>
                </c:pt>
                <c:pt idx="749">
                  <c:v>45387.666666666664</c:v>
                </c:pt>
                <c:pt idx="750">
                  <c:v>45390.666666666664</c:v>
                </c:pt>
                <c:pt idx="751">
                  <c:v>45391.666666666664</c:v>
                </c:pt>
                <c:pt idx="752">
                  <c:v>45392.666666666664</c:v>
                </c:pt>
                <c:pt idx="753">
                  <c:v>45393.666666666664</c:v>
                </c:pt>
                <c:pt idx="754">
                  <c:v>45394.666666666664</c:v>
                </c:pt>
                <c:pt idx="755">
                  <c:v>45397.666666666664</c:v>
                </c:pt>
                <c:pt idx="756">
                  <c:v>45398.666666666664</c:v>
                </c:pt>
                <c:pt idx="757">
                  <c:v>45399.666666666664</c:v>
                </c:pt>
                <c:pt idx="758">
                  <c:v>45400.666666666664</c:v>
                </c:pt>
                <c:pt idx="759">
                  <c:v>45401.666666666664</c:v>
                </c:pt>
                <c:pt idx="760">
                  <c:v>45404.666666666664</c:v>
                </c:pt>
                <c:pt idx="761">
                  <c:v>45405.666666666664</c:v>
                </c:pt>
                <c:pt idx="762">
                  <c:v>45406.666666666664</c:v>
                </c:pt>
                <c:pt idx="763">
                  <c:v>45407.666666666664</c:v>
                </c:pt>
                <c:pt idx="764">
                  <c:v>45408.666666666664</c:v>
                </c:pt>
                <c:pt idx="765">
                  <c:v>45411.666666666664</c:v>
                </c:pt>
                <c:pt idx="766">
                  <c:v>45412.666666666664</c:v>
                </c:pt>
                <c:pt idx="767">
                  <c:v>45413.666666666664</c:v>
                </c:pt>
                <c:pt idx="768">
                  <c:v>45414.666666666664</c:v>
                </c:pt>
                <c:pt idx="769">
                  <c:v>45415.666666666664</c:v>
                </c:pt>
                <c:pt idx="770">
                  <c:v>45418.666666666664</c:v>
                </c:pt>
                <c:pt idx="771">
                  <c:v>45419.666666666664</c:v>
                </c:pt>
                <c:pt idx="772">
                  <c:v>45420.666666666664</c:v>
                </c:pt>
                <c:pt idx="773">
                  <c:v>45421.666666666664</c:v>
                </c:pt>
                <c:pt idx="774">
                  <c:v>45422.666666666664</c:v>
                </c:pt>
                <c:pt idx="775">
                  <c:v>45425.666666666664</c:v>
                </c:pt>
                <c:pt idx="776">
                  <c:v>45426.666666666664</c:v>
                </c:pt>
                <c:pt idx="777">
                  <c:v>45427.666666666664</c:v>
                </c:pt>
                <c:pt idx="778">
                  <c:v>45428.666666666664</c:v>
                </c:pt>
                <c:pt idx="779">
                  <c:v>45429.666666666664</c:v>
                </c:pt>
                <c:pt idx="780">
                  <c:v>45432.666666666664</c:v>
                </c:pt>
                <c:pt idx="781">
                  <c:v>45433.666666666664</c:v>
                </c:pt>
                <c:pt idx="782">
                  <c:v>45434.666666666664</c:v>
                </c:pt>
                <c:pt idx="783">
                  <c:v>45435.666666666664</c:v>
                </c:pt>
                <c:pt idx="784">
                  <c:v>45436.666666666664</c:v>
                </c:pt>
                <c:pt idx="785">
                  <c:v>45440.666666666664</c:v>
                </c:pt>
                <c:pt idx="786">
                  <c:v>45441.666666666664</c:v>
                </c:pt>
                <c:pt idx="787">
                  <c:v>45442.666666666664</c:v>
                </c:pt>
                <c:pt idx="788">
                  <c:v>45443.666666666664</c:v>
                </c:pt>
                <c:pt idx="789">
                  <c:v>45446.666666666664</c:v>
                </c:pt>
                <c:pt idx="790">
                  <c:v>45447.666666666664</c:v>
                </c:pt>
                <c:pt idx="791">
                  <c:v>45448.666666666664</c:v>
                </c:pt>
                <c:pt idx="792">
                  <c:v>45449.666666666664</c:v>
                </c:pt>
                <c:pt idx="793">
                  <c:v>45450.666666666664</c:v>
                </c:pt>
                <c:pt idx="794">
                  <c:v>45453.666666666664</c:v>
                </c:pt>
                <c:pt idx="795">
                  <c:v>45454.666666666664</c:v>
                </c:pt>
                <c:pt idx="796">
                  <c:v>45455.666666666664</c:v>
                </c:pt>
                <c:pt idx="797">
                  <c:v>45456.666666666664</c:v>
                </c:pt>
                <c:pt idx="798">
                  <c:v>45457.666666666664</c:v>
                </c:pt>
                <c:pt idx="799">
                  <c:v>45460.666666666664</c:v>
                </c:pt>
                <c:pt idx="800">
                  <c:v>45461.666666666664</c:v>
                </c:pt>
                <c:pt idx="801">
                  <c:v>45463.666666666664</c:v>
                </c:pt>
                <c:pt idx="802">
                  <c:v>45464.666666666664</c:v>
                </c:pt>
                <c:pt idx="803">
                  <c:v>45467.666666666664</c:v>
                </c:pt>
                <c:pt idx="804">
                  <c:v>45468.666666666664</c:v>
                </c:pt>
                <c:pt idx="805">
                  <c:v>45469.666666666664</c:v>
                </c:pt>
                <c:pt idx="806">
                  <c:v>45470.666666666664</c:v>
                </c:pt>
                <c:pt idx="807">
                  <c:v>45471.666666666664</c:v>
                </c:pt>
                <c:pt idx="808">
                  <c:v>45474.666666666664</c:v>
                </c:pt>
                <c:pt idx="809">
                  <c:v>45475.666666666664</c:v>
                </c:pt>
                <c:pt idx="810">
                  <c:v>45476.545138888891</c:v>
                </c:pt>
                <c:pt idx="811">
                  <c:v>45478.666666666664</c:v>
                </c:pt>
                <c:pt idx="812">
                  <c:v>45481.666666666664</c:v>
                </c:pt>
                <c:pt idx="813">
                  <c:v>45482.666666666664</c:v>
                </c:pt>
                <c:pt idx="814">
                  <c:v>45483.666666666664</c:v>
                </c:pt>
                <c:pt idx="815">
                  <c:v>45484.666666666664</c:v>
                </c:pt>
                <c:pt idx="816">
                  <c:v>45485.666666666664</c:v>
                </c:pt>
                <c:pt idx="817">
                  <c:v>45488.666666666664</c:v>
                </c:pt>
                <c:pt idx="818">
                  <c:v>45489.666666666664</c:v>
                </c:pt>
                <c:pt idx="819">
                  <c:v>45490.666666666664</c:v>
                </c:pt>
                <c:pt idx="820">
                  <c:v>45491.666666666664</c:v>
                </c:pt>
                <c:pt idx="821">
                  <c:v>45492.666666666664</c:v>
                </c:pt>
                <c:pt idx="822">
                  <c:v>45495.666666666664</c:v>
                </c:pt>
                <c:pt idx="823">
                  <c:v>45496.666666666664</c:v>
                </c:pt>
                <c:pt idx="824">
                  <c:v>45497.666666666664</c:v>
                </c:pt>
                <c:pt idx="825">
                  <c:v>45498.666666666664</c:v>
                </c:pt>
                <c:pt idx="826">
                  <c:v>45499.666666666664</c:v>
                </c:pt>
                <c:pt idx="827">
                  <c:v>45502.666666666664</c:v>
                </c:pt>
                <c:pt idx="828">
                  <c:v>45503.666666666664</c:v>
                </c:pt>
                <c:pt idx="829">
                  <c:v>45504.666666666664</c:v>
                </c:pt>
                <c:pt idx="830">
                  <c:v>45505.666666666664</c:v>
                </c:pt>
                <c:pt idx="831">
                  <c:v>45506.666666666664</c:v>
                </c:pt>
                <c:pt idx="832">
                  <c:v>45509.666666666664</c:v>
                </c:pt>
                <c:pt idx="833">
                  <c:v>45510.666666666664</c:v>
                </c:pt>
                <c:pt idx="834">
                  <c:v>45511.666666666664</c:v>
                </c:pt>
                <c:pt idx="835">
                  <c:v>45512.666666666664</c:v>
                </c:pt>
                <c:pt idx="836">
                  <c:v>45513.666666666664</c:v>
                </c:pt>
                <c:pt idx="837">
                  <c:v>45516.666666666664</c:v>
                </c:pt>
                <c:pt idx="838">
                  <c:v>45517.666666666664</c:v>
                </c:pt>
                <c:pt idx="839">
                  <c:v>45518.666666666664</c:v>
                </c:pt>
                <c:pt idx="840">
                  <c:v>45519.666666666664</c:v>
                </c:pt>
                <c:pt idx="841">
                  <c:v>45520.666666666664</c:v>
                </c:pt>
                <c:pt idx="842">
                  <c:v>45523.666666666664</c:v>
                </c:pt>
                <c:pt idx="843">
                  <c:v>45524.666666666664</c:v>
                </c:pt>
                <c:pt idx="844">
                  <c:v>45525.666666666664</c:v>
                </c:pt>
                <c:pt idx="845">
                  <c:v>45526.666666666664</c:v>
                </c:pt>
                <c:pt idx="846">
                  <c:v>45527.666666666664</c:v>
                </c:pt>
                <c:pt idx="847">
                  <c:v>45530.666666666664</c:v>
                </c:pt>
                <c:pt idx="848">
                  <c:v>45531.666666666664</c:v>
                </c:pt>
                <c:pt idx="849">
                  <c:v>45532.666666666664</c:v>
                </c:pt>
                <c:pt idx="850">
                  <c:v>45533.666666666664</c:v>
                </c:pt>
                <c:pt idx="851">
                  <c:v>45534.666666666664</c:v>
                </c:pt>
                <c:pt idx="852">
                  <c:v>45538.666666666664</c:v>
                </c:pt>
                <c:pt idx="853">
                  <c:v>45539.666666666664</c:v>
                </c:pt>
                <c:pt idx="854">
                  <c:v>45540.666666666664</c:v>
                </c:pt>
                <c:pt idx="855">
                  <c:v>45541.666666666664</c:v>
                </c:pt>
                <c:pt idx="856">
                  <c:v>45544.666666666664</c:v>
                </c:pt>
                <c:pt idx="857">
                  <c:v>45545.666666666664</c:v>
                </c:pt>
                <c:pt idx="858">
                  <c:v>45546.666666666664</c:v>
                </c:pt>
                <c:pt idx="859">
                  <c:v>45547.666666666664</c:v>
                </c:pt>
                <c:pt idx="860">
                  <c:v>45548.666666666664</c:v>
                </c:pt>
                <c:pt idx="861">
                  <c:v>45551.666666666664</c:v>
                </c:pt>
                <c:pt idx="862">
                  <c:v>45552.666666666664</c:v>
                </c:pt>
                <c:pt idx="863">
                  <c:v>45553.666666666664</c:v>
                </c:pt>
                <c:pt idx="864">
                  <c:v>45554.666666666664</c:v>
                </c:pt>
                <c:pt idx="865">
                  <c:v>45555.666666666664</c:v>
                </c:pt>
                <c:pt idx="866">
                  <c:v>45558.666666666664</c:v>
                </c:pt>
                <c:pt idx="867">
                  <c:v>45559.666666666664</c:v>
                </c:pt>
                <c:pt idx="868">
                  <c:v>45560.666666666664</c:v>
                </c:pt>
                <c:pt idx="869">
                  <c:v>45561.666666666664</c:v>
                </c:pt>
                <c:pt idx="870">
                  <c:v>45562.666666666664</c:v>
                </c:pt>
                <c:pt idx="871">
                  <c:v>45565.666666666664</c:v>
                </c:pt>
                <c:pt idx="872">
                  <c:v>45566.666666666664</c:v>
                </c:pt>
                <c:pt idx="873">
                  <c:v>45567.666666666664</c:v>
                </c:pt>
                <c:pt idx="874">
                  <c:v>45568.666666666664</c:v>
                </c:pt>
                <c:pt idx="875">
                  <c:v>45569.666666666664</c:v>
                </c:pt>
                <c:pt idx="876">
                  <c:v>45572.666666666664</c:v>
                </c:pt>
                <c:pt idx="877">
                  <c:v>45573.666666666664</c:v>
                </c:pt>
                <c:pt idx="878">
                  <c:v>45574.666666666664</c:v>
                </c:pt>
                <c:pt idx="879">
                  <c:v>45575.666666666664</c:v>
                </c:pt>
                <c:pt idx="880">
                  <c:v>45576.666666666664</c:v>
                </c:pt>
                <c:pt idx="881">
                  <c:v>45579.666666666664</c:v>
                </c:pt>
                <c:pt idx="882">
                  <c:v>45580.666666666664</c:v>
                </c:pt>
                <c:pt idx="883">
                  <c:v>45581.666666666664</c:v>
                </c:pt>
                <c:pt idx="884">
                  <c:v>45582.666666666664</c:v>
                </c:pt>
                <c:pt idx="885">
                  <c:v>45583.666666666664</c:v>
                </c:pt>
                <c:pt idx="886">
                  <c:v>45586.666666666664</c:v>
                </c:pt>
                <c:pt idx="887">
                  <c:v>45587.666666666664</c:v>
                </c:pt>
                <c:pt idx="888">
                  <c:v>45588.666666666664</c:v>
                </c:pt>
                <c:pt idx="889">
                  <c:v>45589.666666666664</c:v>
                </c:pt>
                <c:pt idx="890">
                  <c:v>45590.666666666664</c:v>
                </c:pt>
                <c:pt idx="891">
                  <c:v>45593.666666666664</c:v>
                </c:pt>
                <c:pt idx="892">
                  <c:v>45594.666666666664</c:v>
                </c:pt>
                <c:pt idx="893">
                  <c:v>45595.666666666664</c:v>
                </c:pt>
                <c:pt idx="894">
                  <c:v>45596.666666666664</c:v>
                </c:pt>
                <c:pt idx="895">
                  <c:v>45597.666666666664</c:v>
                </c:pt>
                <c:pt idx="896">
                  <c:v>45600.666666666664</c:v>
                </c:pt>
                <c:pt idx="897">
                  <c:v>45601.666666666664</c:v>
                </c:pt>
                <c:pt idx="898">
                  <c:v>45602.666666666664</c:v>
                </c:pt>
                <c:pt idx="899">
                  <c:v>45603.666666666664</c:v>
                </c:pt>
                <c:pt idx="900">
                  <c:v>45604.666666666664</c:v>
                </c:pt>
                <c:pt idx="901">
                  <c:v>45607.666666666664</c:v>
                </c:pt>
                <c:pt idx="902">
                  <c:v>45608.666666666664</c:v>
                </c:pt>
                <c:pt idx="903">
                  <c:v>45609.666666666664</c:v>
                </c:pt>
                <c:pt idx="904">
                  <c:v>45610.666666666664</c:v>
                </c:pt>
                <c:pt idx="905">
                  <c:v>45611.666666666664</c:v>
                </c:pt>
                <c:pt idx="906">
                  <c:v>45614.666666666664</c:v>
                </c:pt>
                <c:pt idx="907">
                  <c:v>45615.666666666664</c:v>
                </c:pt>
                <c:pt idx="908">
                  <c:v>45616.666666666664</c:v>
                </c:pt>
                <c:pt idx="909">
                  <c:v>45617.666666666664</c:v>
                </c:pt>
                <c:pt idx="910">
                  <c:v>45618.666666666664</c:v>
                </c:pt>
                <c:pt idx="911">
                  <c:v>45621.666666666664</c:v>
                </c:pt>
                <c:pt idx="912">
                  <c:v>45622.666666666664</c:v>
                </c:pt>
                <c:pt idx="913">
                  <c:v>45623.666666666664</c:v>
                </c:pt>
                <c:pt idx="914">
                  <c:v>45625.545138888891</c:v>
                </c:pt>
                <c:pt idx="915">
                  <c:v>45628.666666666664</c:v>
                </c:pt>
                <c:pt idx="916">
                  <c:v>45629.666666666664</c:v>
                </c:pt>
                <c:pt idx="917">
                  <c:v>45630.666666666664</c:v>
                </c:pt>
                <c:pt idx="918">
                  <c:v>45631.666666666664</c:v>
                </c:pt>
                <c:pt idx="919">
                  <c:v>45632.666666666664</c:v>
                </c:pt>
                <c:pt idx="920">
                  <c:v>45635.666666666664</c:v>
                </c:pt>
                <c:pt idx="921">
                  <c:v>45636.666666666664</c:v>
                </c:pt>
                <c:pt idx="922">
                  <c:v>45637.666666666664</c:v>
                </c:pt>
                <c:pt idx="923">
                  <c:v>45638.666666666664</c:v>
                </c:pt>
                <c:pt idx="924">
                  <c:v>45639.666666666664</c:v>
                </c:pt>
                <c:pt idx="925">
                  <c:v>45642.666666666664</c:v>
                </c:pt>
                <c:pt idx="926">
                  <c:v>45643.666666666664</c:v>
                </c:pt>
                <c:pt idx="927">
                  <c:v>45644.666666666664</c:v>
                </c:pt>
                <c:pt idx="928">
                  <c:v>45645.666666666664</c:v>
                </c:pt>
                <c:pt idx="929">
                  <c:v>45646.666666666664</c:v>
                </c:pt>
                <c:pt idx="930">
                  <c:v>45649.666666666664</c:v>
                </c:pt>
                <c:pt idx="931">
                  <c:v>45650.545138888891</c:v>
                </c:pt>
                <c:pt idx="932">
                  <c:v>45652.666666666664</c:v>
                </c:pt>
                <c:pt idx="933">
                  <c:v>45653.666666666664</c:v>
                </c:pt>
                <c:pt idx="934">
                  <c:v>45656.666666666664</c:v>
                </c:pt>
                <c:pt idx="935">
                  <c:v>45657.666666666664</c:v>
                </c:pt>
                <c:pt idx="936">
                  <c:v>45659.666666666664</c:v>
                </c:pt>
                <c:pt idx="937">
                  <c:v>45660.666666666664</c:v>
                </c:pt>
                <c:pt idx="938">
                  <c:v>45663.666666666664</c:v>
                </c:pt>
                <c:pt idx="939">
                  <c:v>45664.666666666664</c:v>
                </c:pt>
                <c:pt idx="940">
                  <c:v>45665.666666666664</c:v>
                </c:pt>
                <c:pt idx="941">
                  <c:v>45667.666666666664</c:v>
                </c:pt>
                <c:pt idx="942">
                  <c:v>45670.666666666664</c:v>
                </c:pt>
                <c:pt idx="943">
                  <c:v>45671.666666666664</c:v>
                </c:pt>
                <c:pt idx="944">
                  <c:v>45672.666666666664</c:v>
                </c:pt>
                <c:pt idx="945">
                  <c:v>45673.666666666664</c:v>
                </c:pt>
                <c:pt idx="946">
                  <c:v>45674.666666666664</c:v>
                </c:pt>
                <c:pt idx="947">
                  <c:v>45678.666666666664</c:v>
                </c:pt>
                <c:pt idx="948">
                  <c:v>45679.666666666664</c:v>
                </c:pt>
                <c:pt idx="949">
                  <c:v>45680.666666666664</c:v>
                </c:pt>
                <c:pt idx="950">
                  <c:v>45681.666666666664</c:v>
                </c:pt>
                <c:pt idx="951">
                  <c:v>45684.666666666664</c:v>
                </c:pt>
                <c:pt idx="952">
                  <c:v>45685.666666666664</c:v>
                </c:pt>
                <c:pt idx="953">
                  <c:v>45686.666666666664</c:v>
                </c:pt>
                <c:pt idx="954">
                  <c:v>45687.666666666664</c:v>
                </c:pt>
                <c:pt idx="955">
                  <c:v>45688.666666666664</c:v>
                </c:pt>
                <c:pt idx="956">
                  <c:v>45691.666666666664</c:v>
                </c:pt>
                <c:pt idx="957">
                  <c:v>45692.666666666664</c:v>
                </c:pt>
                <c:pt idx="958">
                  <c:v>45693.666666666664</c:v>
                </c:pt>
                <c:pt idx="959">
                  <c:v>45694.666666666664</c:v>
                </c:pt>
                <c:pt idx="960">
                  <c:v>45695.666666666664</c:v>
                </c:pt>
                <c:pt idx="961">
                  <c:v>45698.666666666664</c:v>
                </c:pt>
                <c:pt idx="962">
                  <c:v>45699.666666666664</c:v>
                </c:pt>
                <c:pt idx="963">
                  <c:v>45700.666666666664</c:v>
                </c:pt>
                <c:pt idx="964">
                  <c:v>45701.666666666664</c:v>
                </c:pt>
                <c:pt idx="965">
                  <c:v>45702.666666666664</c:v>
                </c:pt>
                <c:pt idx="966">
                  <c:v>45706.666666666664</c:v>
                </c:pt>
                <c:pt idx="967">
                  <c:v>45707.666666666664</c:v>
                </c:pt>
                <c:pt idx="968">
                  <c:v>45708.666666666664</c:v>
                </c:pt>
                <c:pt idx="969">
                  <c:v>45709.666666666664</c:v>
                </c:pt>
                <c:pt idx="970">
                  <c:v>45712.666666666664</c:v>
                </c:pt>
                <c:pt idx="971">
                  <c:v>45713.666666666664</c:v>
                </c:pt>
                <c:pt idx="972">
                  <c:v>45714.666666666664</c:v>
                </c:pt>
                <c:pt idx="973">
                  <c:v>45715.666666666664</c:v>
                </c:pt>
                <c:pt idx="974">
                  <c:v>45716.666666666664</c:v>
                </c:pt>
                <c:pt idx="975">
                  <c:v>45719.666666666664</c:v>
                </c:pt>
                <c:pt idx="976">
                  <c:v>45720.666666666664</c:v>
                </c:pt>
                <c:pt idx="977">
                  <c:v>45721.666666666664</c:v>
                </c:pt>
                <c:pt idx="978">
                  <c:v>45722.666666666664</c:v>
                </c:pt>
                <c:pt idx="979">
                  <c:v>45723.666666666664</c:v>
                </c:pt>
                <c:pt idx="980">
                  <c:v>45726.666666666664</c:v>
                </c:pt>
                <c:pt idx="981">
                  <c:v>45727.666666666664</c:v>
                </c:pt>
                <c:pt idx="982">
                  <c:v>45728.666666666664</c:v>
                </c:pt>
                <c:pt idx="983">
                  <c:v>45729.666666666664</c:v>
                </c:pt>
                <c:pt idx="984">
                  <c:v>45730.666666666664</c:v>
                </c:pt>
                <c:pt idx="985">
                  <c:v>45733.666666666664</c:v>
                </c:pt>
                <c:pt idx="986">
                  <c:v>45734.666666666664</c:v>
                </c:pt>
                <c:pt idx="987">
                  <c:v>45735.666666666664</c:v>
                </c:pt>
                <c:pt idx="988">
                  <c:v>45736.666666666664</c:v>
                </c:pt>
                <c:pt idx="989">
                  <c:v>45737.666666666664</c:v>
                </c:pt>
                <c:pt idx="990">
                  <c:v>45740.666666666664</c:v>
                </c:pt>
                <c:pt idx="991">
                  <c:v>45741.666666666664</c:v>
                </c:pt>
                <c:pt idx="992">
                  <c:v>45742.666666666664</c:v>
                </c:pt>
                <c:pt idx="993">
                  <c:v>45743.666666666664</c:v>
                </c:pt>
                <c:pt idx="994">
                  <c:v>45744.666666666664</c:v>
                </c:pt>
                <c:pt idx="995">
                  <c:v>45747.666666666664</c:v>
                </c:pt>
                <c:pt idx="996">
                  <c:v>45748.666666666664</c:v>
                </c:pt>
                <c:pt idx="997">
                  <c:v>45749.666666666664</c:v>
                </c:pt>
                <c:pt idx="998">
                  <c:v>45750.666666666664</c:v>
                </c:pt>
                <c:pt idx="999">
                  <c:v>45751.666666666664</c:v>
                </c:pt>
                <c:pt idx="1000">
                  <c:v>45754.666666666664</c:v>
                </c:pt>
                <c:pt idx="1001">
                  <c:v>45755.666666666664</c:v>
                </c:pt>
                <c:pt idx="1002">
                  <c:v>45756.666666666664</c:v>
                </c:pt>
                <c:pt idx="1003">
                  <c:v>45757.666666666664</c:v>
                </c:pt>
                <c:pt idx="1004">
                  <c:v>45758.666666666664</c:v>
                </c:pt>
                <c:pt idx="1005">
                  <c:v>45761.666666666664</c:v>
                </c:pt>
                <c:pt idx="1006">
                  <c:v>45762.666666666664</c:v>
                </c:pt>
                <c:pt idx="1007">
                  <c:v>45763.666666666664</c:v>
                </c:pt>
                <c:pt idx="1008">
                  <c:v>45764.666666666664</c:v>
                </c:pt>
                <c:pt idx="1009">
                  <c:v>45768.666666666664</c:v>
                </c:pt>
                <c:pt idx="1010">
                  <c:v>45769.666666666664</c:v>
                </c:pt>
                <c:pt idx="1011">
                  <c:v>45770.666666666664</c:v>
                </c:pt>
                <c:pt idx="1012">
                  <c:v>45771.666666666664</c:v>
                </c:pt>
                <c:pt idx="1013">
                  <c:v>45772.666666666664</c:v>
                </c:pt>
                <c:pt idx="1014">
                  <c:v>45775.666666666664</c:v>
                </c:pt>
                <c:pt idx="1015">
                  <c:v>45776.666666666664</c:v>
                </c:pt>
                <c:pt idx="1016">
                  <c:v>45777.666666666664</c:v>
                </c:pt>
                <c:pt idx="1017">
                  <c:v>45778.666666666664</c:v>
                </c:pt>
                <c:pt idx="1018">
                  <c:v>45779.666666666664</c:v>
                </c:pt>
                <c:pt idx="1019">
                  <c:v>45782.666666666664</c:v>
                </c:pt>
                <c:pt idx="1020">
                  <c:v>45783.666666666664</c:v>
                </c:pt>
                <c:pt idx="1021">
                  <c:v>45784.666666666664</c:v>
                </c:pt>
                <c:pt idx="1022">
                  <c:v>45785.666666666664</c:v>
                </c:pt>
                <c:pt idx="1023">
                  <c:v>45786.666666666664</c:v>
                </c:pt>
                <c:pt idx="1024">
                  <c:v>45789.666666666664</c:v>
                </c:pt>
                <c:pt idx="1025">
                  <c:v>45790.666666666664</c:v>
                </c:pt>
                <c:pt idx="1026">
                  <c:v>45791.666666666664</c:v>
                </c:pt>
                <c:pt idx="1027">
                  <c:v>45792.666666666664</c:v>
                </c:pt>
                <c:pt idx="1028">
                  <c:v>45793.666666666664</c:v>
                </c:pt>
                <c:pt idx="1029">
                  <c:v>45796.666666666664</c:v>
                </c:pt>
                <c:pt idx="1030">
                  <c:v>45797.666666666664</c:v>
                </c:pt>
                <c:pt idx="1031">
                  <c:v>45798.666666666664</c:v>
                </c:pt>
                <c:pt idx="1032">
                  <c:v>45799.666666666664</c:v>
                </c:pt>
                <c:pt idx="1033">
                  <c:v>45800.666666666664</c:v>
                </c:pt>
                <c:pt idx="1034">
                  <c:v>45804.666666666664</c:v>
                </c:pt>
                <c:pt idx="1035">
                  <c:v>45805.666666666664</c:v>
                </c:pt>
                <c:pt idx="1036">
                  <c:v>45806.666666666664</c:v>
                </c:pt>
                <c:pt idx="1037">
                  <c:v>45807.666666666664</c:v>
                </c:pt>
                <c:pt idx="1038">
                  <c:v>45810.666666666664</c:v>
                </c:pt>
                <c:pt idx="1039">
                  <c:v>45811.666666666664</c:v>
                </c:pt>
                <c:pt idx="1040">
                  <c:v>45812.666666666664</c:v>
                </c:pt>
                <c:pt idx="1041">
                  <c:v>45813.666666666664</c:v>
                </c:pt>
                <c:pt idx="1042">
                  <c:v>45814.666666666664</c:v>
                </c:pt>
                <c:pt idx="1043">
                  <c:v>45817.666666666664</c:v>
                </c:pt>
                <c:pt idx="1044">
                  <c:v>45818.666666666664</c:v>
                </c:pt>
                <c:pt idx="1045">
                  <c:v>45819.666666666664</c:v>
                </c:pt>
                <c:pt idx="1046">
                  <c:v>45820.666666666664</c:v>
                </c:pt>
                <c:pt idx="1047">
                  <c:v>45821.666666666664</c:v>
                </c:pt>
                <c:pt idx="1048">
                  <c:v>45824.666666666664</c:v>
                </c:pt>
                <c:pt idx="1049">
                  <c:v>45825.666666666664</c:v>
                </c:pt>
                <c:pt idx="1050">
                  <c:v>45826.666666666664</c:v>
                </c:pt>
                <c:pt idx="1051">
                  <c:v>45828.666666666664</c:v>
                </c:pt>
                <c:pt idx="1052">
                  <c:v>45831.666666666664</c:v>
                </c:pt>
                <c:pt idx="1053">
                  <c:v>45832.666666666664</c:v>
                </c:pt>
                <c:pt idx="1054">
                  <c:v>45833.666666666664</c:v>
                </c:pt>
                <c:pt idx="1055">
                  <c:v>45834.666666666664</c:v>
                </c:pt>
                <c:pt idx="1056">
                  <c:v>45835.666666666664</c:v>
                </c:pt>
                <c:pt idx="1057">
                  <c:v>45838.666666666664</c:v>
                </c:pt>
                <c:pt idx="1058">
                  <c:v>45839.666666666664</c:v>
                </c:pt>
                <c:pt idx="1059">
                  <c:v>45840.666666666664</c:v>
                </c:pt>
                <c:pt idx="1060">
                  <c:v>45841.545138888891</c:v>
                </c:pt>
                <c:pt idx="1061">
                  <c:v>45845.666666666664</c:v>
                </c:pt>
                <c:pt idx="1062">
                  <c:v>45846.666666666664</c:v>
                </c:pt>
                <c:pt idx="1063">
                  <c:v>45847.666666666664</c:v>
                </c:pt>
                <c:pt idx="1064">
                  <c:v>45848.666666666664</c:v>
                </c:pt>
                <c:pt idx="1065">
                  <c:v>45849.666666666664</c:v>
                </c:pt>
              </c:numCache>
            </c:numRef>
          </c:cat>
          <c:val>
            <c:numRef>
              <c:f>'Coinbase price'!$B$2:$B$1567</c:f>
              <c:numCache>
                <c:formatCode>General</c:formatCode>
                <c:ptCount val="1566"/>
                <c:pt idx="0">
                  <c:v>328.28</c:v>
                </c:pt>
                <c:pt idx="1">
                  <c:v>322.75</c:v>
                </c:pt>
                <c:pt idx="2">
                  <c:v>342</c:v>
                </c:pt>
                <c:pt idx="3">
                  <c:v>333</c:v>
                </c:pt>
                <c:pt idx="4">
                  <c:v>320.82</c:v>
                </c:pt>
                <c:pt idx="5">
                  <c:v>311.92</c:v>
                </c:pt>
                <c:pt idx="6">
                  <c:v>293.45</c:v>
                </c:pt>
                <c:pt idx="7">
                  <c:v>291.60000000000002</c:v>
                </c:pt>
                <c:pt idx="8">
                  <c:v>304.54000000000002</c:v>
                </c:pt>
                <c:pt idx="9">
                  <c:v>302</c:v>
                </c:pt>
                <c:pt idx="10">
                  <c:v>298.05</c:v>
                </c:pt>
                <c:pt idx="11">
                  <c:v>294.77</c:v>
                </c:pt>
                <c:pt idx="12">
                  <c:v>297.64</c:v>
                </c:pt>
                <c:pt idx="13">
                  <c:v>294.20999999999998</c:v>
                </c:pt>
                <c:pt idx="14">
                  <c:v>280.66000000000003</c:v>
                </c:pt>
                <c:pt idx="15">
                  <c:v>273</c:v>
                </c:pt>
                <c:pt idx="16">
                  <c:v>256.76</c:v>
                </c:pt>
                <c:pt idx="17">
                  <c:v>263.7</c:v>
                </c:pt>
                <c:pt idx="18">
                  <c:v>293.45</c:v>
                </c:pt>
                <c:pt idx="19">
                  <c:v>303</c:v>
                </c:pt>
                <c:pt idx="20">
                  <c:v>283.61</c:v>
                </c:pt>
                <c:pt idx="21">
                  <c:v>265.10000000000002</c:v>
                </c:pt>
                <c:pt idx="22">
                  <c:v>258.37</c:v>
                </c:pt>
                <c:pt idx="23">
                  <c:v>248.24</c:v>
                </c:pt>
                <c:pt idx="24">
                  <c:v>239</c:v>
                </c:pt>
                <c:pt idx="25">
                  <c:v>224.8</c:v>
                </c:pt>
                <c:pt idx="26">
                  <c:v>233.4</c:v>
                </c:pt>
                <c:pt idx="27">
                  <c:v>224.35</c:v>
                </c:pt>
                <c:pt idx="28">
                  <c:v>225.3</c:v>
                </c:pt>
                <c:pt idx="29">
                  <c:v>242.41</c:v>
                </c:pt>
                <c:pt idx="30">
                  <c:v>241.52</c:v>
                </c:pt>
                <c:pt idx="31">
                  <c:v>247.09</c:v>
                </c:pt>
                <c:pt idx="32">
                  <c:v>236.54</c:v>
                </c:pt>
                <c:pt idx="33">
                  <c:v>238.93</c:v>
                </c:pt>
                <c:pt idx="34">
                  <c:v>240.48</c:v>
                </c:pt>
                <c:pt idx="35">
                  <c:v>233.66</c:v>
                </c:pt>
                <c:pt idx="36">
                  <c:v>228.79</c:v>
                </c:pt>
                <c:pt idx="37">
                  <c:v>231.45</c:v>
                </c:pt>
                <c:pt idx="38">
                  <c:v>220.66</c:v>
                </c:pt>
                <c:pt idx="39">
                  <c:v>224.32</c:v>
                </c:pt>
                <c:pt idx="40">
                  <c:v>221.85</c:v>
                </c:pt>
                <c:pt idx="41">
                  <c:v>223.92</c:v>
                </c:pt>
                <c:pt idx="42">
                  <c:v>239.1</c:v>
                </c:pt>
                <c:pt idx="43">
                  <c:v>232.21</c:v>
                </c:pt>
                <c:pt idx="44">
                  <c:v>228.05</c:v>
                </c:pt>
                <c:pt idx="45">
                  <c:v>230.66</c:v>
                </c:pt>
                <c:pt idx="46">
                  <c:v>229.29</c:v>
                </c:pt>
                <c:pt idx="47">
                  <c:v>222.6</c:v>
                </c:pt>
                <c:pt idx="48">
                  <c:v>222.47</c:v>
                </c:pt>
                <c:pt idx="49">
                  <c:v>226.01</c:v>
                </c:pt>
                <c:pt idx="50">
                  <c:v>229.93</c:v>
                </c:pt>
                <c:pt idx="51">
                  <c:v>224.54</c:v>
                </c:pt>
                <c:pt idx="52">
                  <c:v>246.69</c:v>
                </c:pt>
                <c:pt idx="53">
                  <c:v>254.9</c:v>
                </c:pt>
                <c:pt idx="54">
                  <c:v>253.3</c:v>
                </c:pt>
                <c:pt idx="55">
                  <c:v>241.44</c:v>
                </c:pt>
                <c:pt idx="56">
                  <c:v>240.72</c:v>
                </c:pt>
                <c:pt idx="57">
                  <c:v>235.41</c:v>
                </c:pt>
                <c:pt idx="58">
                  <c:v>251.97</c:v>
                </c:pt>
                <c:pt idx="59">
                  <c:v>244.29</c:v>
                </c:pt>
                <c:pt idx="60">
                  <c:v>253.88</c:v>
                </c:pt>
                <c:pt idx="61">
                  <c:v>247.67</c:v>
                </c:pt>
                <c:pt idx="62">
                  <c:v>243.31</c:v>
                </c:pt>
                <c:pt idx="63">
                  <c:v>229.94</c:v>
                </c:pt>
                <c:pt idx="64">
                  <c:v>224.63</c:v>
                </c:pt>
                <c:pt idx="65">
                  <c:v>225.01</c:v>
                </c:pt>
                <c:pt idx="66">
                  <c:v>220.61</c:v>
                </c:pt>
                <c:pt idx="67">
                  <c:v>224.96</c:v>
                </c:pt>
                <c:pt idx="68">
                  <c:v>230.87</c:v>
                </c:pt>
                <c:pt idx="69">
                  <c:v>226.08</c:v>
                </c:pt>
                <c:pt idx="70">
                  <c:v>224.92</c:v>
                </c:pt>
                <c:pt idx="71">
                  <c:v>245.45</c:v>
                </c:pt>
                <c:pt idx="72">
                  <c:v>235.08</c:v>
                </c:pt>
                <c:pt idx="73">
                  <c:v>241.75</c:v>
                </c:pt>
                <c:pt idx="74">
                  <c:v>235.78</c:v>
                </c:pt>
                <c:pt idx="75">
                  <c:v>236.58</c:v>
                </c:pt>
                <c:pt idx="76">
                  <c:v>235.4</c:v>
                </c:pt>
                <c:pt idx="77">
                  <c:v>230.18</c:v>
                </c:pt>
                <c:pt idx="78">
                  <c:v>244.36</c:v>
                </c:pt>
                <c:pt idx="79">
                  <c:v>255.5</c:v>
                </c:pt>
                <c:pt idx="80">
                  <c:v>258.26</c:v>
                </c:pt>
                <c:pt idx="81">
                  <c:v>280.47000000000003</c:v>
                </c:pt>
                <c:pt idx="82">
                  <c:v>269.67</c:v>
                </c:pt>
                <c:pt idx="83">
                  <c:v>278.39999999999998</c:v>
                </c:pt>
                <c:pt idx="84">
                  <c:v>256.5</c:v>
                </c:pt>
                <c:pt idx="85">
                  <c:v>261.25</c:v>
                </c:pt>
                <c:pt idx="86">
                  <c:v>256.83</c:v>
                </c:pt>
                <c:pt idx="87">
                  <c:v>250.8</c:v>
                </c:pt>
                <c:pt idx="88">
                  <c:v>244.39</c:v>
                </c:pt>
                <c:pt idx="89">
                  <c:v>248.24</c:v>
                </c:pt>
                <c:pt idx="90">
                  <c:v>257.32</c:v>
                </c:pt>
                <c:pt idx="91">
                  <c:v>256</c:v>
                </c:pt>
                <c:pt idx="92">
                  <c:v>259.27999999999997</c:v>
                </c:pt>
                <c:pt idx="93">
                  <c:v>256.77</c:v>
                </c:pt>
                <c:pt idx="94">
                  <c:v>248.54</c:v>
                </c:pt>
                <c:pt idx="95">
                  <c:v>259.12</c:v>
                </c:pt>
                <c:pt idx="96">
                  <c:v>262.66000000000003</c:v>
                </c:pt>
                <c:pt idx="97">
                  <c:v>259</c:v>
                </c:pt>
                <c:pt idx="98">
                  <c:v>265.89999999999998</c:v>
                </c:pt>
                <c:pt idx="99">
                  <c:v>268.18</c:v>
                </c:pt>
                <c:pt idx="100">
                  <c:v>278.44</c:v>
                </c:pt>
                <c:pt idx="101">
                  <c:v>266.81</c:v>
                </c:pt>
                <c:pt idx="102">
                  <c:v>258.2</c:v>
                </c:pt>
                <c:pt idx="103">
                  <c:v>256.42</c:v>
                </c:pt>
                <c:pt idx="104">
                  <c:v>248.32</c:v>
                </c:pt>
                <c:pt idx="105">
                  <c:v>242.84</c:v>
                </c:pt>
                <c:pt idx="106">
                  <c:v>243</c:v>
                </c:pt>
                <c:pt idx="107">
                  <c:v>247.07</c:v>
                </c:pt>
                <c:pt idx="108">
                  <c:v>243.21</c:v>
                </c:pt>
                <c:pt idx="109">
                  <c:v>245.19</c:v>
                </c:pt>
                <c:pt idx="110">
                  <c:v>236.53</c:v>
                </c:pt>
                <c:pt idx="111">
                  <c:v>238.46</c:v>
                </c:pt>
                <c:pt idx="112">
                  <c:v>241.85</c:v>
                </c:pt>
                <c:pt idx="113">
                  <c:v>237.5</c:v>
                </c:pt>
                <c:pt idx="114">
                  <c:v>231.82</c:v>
                </c:pt>
                <c:pt idx="115">
                  <c:v>232.24</c:v>
                </c:pt>
                <c:pt idx="116">
                  <c:v>229.84</c:v>
                </c:pt>
                <c:pt idx="117">
                  <c:v>225.28</c:v>
                </c:pt>
                <c:pt idx="118">
                  <c:v>227.48</c:v>
                </c:pt>
                <c:pt idx="119">
                  <c:v>231.15</c:v>
                </c:pt>
                <c:pt idx="120">
                  <c:v>229.31</c:v>
                </c:pt>
                <c:pt idx="121">
                  <c:v>240.09</c:v>
                </c:pt>
                <c:pt idx="122">
                  <c:v>250.38</c:v>
                </c:pt>
                <c:pt idx="123">
                  <c:v>251.59</c:v>
                </c:pt>
                <c:pt idx="124">
                  <c:v>248.14</c:v>
                </c:pt>
                <c:pt idx="125">
                  <c:v>256.5</c:v>
                </c:pt>
                <c:pt idx="126">
                  <c:v>249.33</c:v>
                </c:pt>
                <c:pt idx="127">
                  <c:v>246.78</c:v>
                </c:pt>
                <c:pt idx="128">
                  <c:v>260</c:v>
                </c:pt>
                <c:pt idx="129">
                  <c:v>280.61</c:v>
                </c:pt>
                <c:pt idx="130">
                  <c:v>293.33999999999997</c:v>
                </c:pt>
                <c:pt idx="131">
                  <c:v>305.63</c:v>
                </c:pt>
                <c:pt idx="132">
                  <c:v>314.70999999999998</c:v>
                </c:pt>
                <c:pt idx="133">
                  <c:v>300.01</c:v>
                </c:pt>
                <c:pt idx="134">
                  <c:v>300.83999999999997</c:v>
                </c:pt>
                <c:pt idx="135">
                  <c:v>325.54000000000002</c:v>
                </c:pt>
                <c:pt idx="136">
                  <c:v>319.49</c:v>
                </c:pt>
                <c:pt idx="137">
                  <c:v>311.67</c:v>
                </c:pt>
                <c:pt idx="138">
                  <c:v>319.13</c:v>
                </c:pt>
                <c:pt idx="139">
                  <c:v>319.42</c:v>
                </c:pt>
                <c:pt idx="140">
                  <c:v>330.99</c:v>
                </c:pt>
                <c:pt idx="141">
                  <c:v>336.34</c:v>
                </c:pt>
                <c:pt idx="142">
                  <c:v>344.38</c:v>
                </c:pt>
                <c:pt idx="143">
                  <c:v>344.45</c:v>
                </c:pt>
                <c:pt idx="144">
                  <c:v>337.05</c:v>
                </c:pt>
                <c:pt idx="145">
                  <c:v>353.92</c:v>
                </c:pt>
                <c:pt idx="146">
                  <c:v>357.39</c:v>
                </c:pt>
                <c:pt idx="147">
                  <c:v>328.6</c:v>
                </c:pt>
                <c:pt idx="148">
                  <c:v>336.39</c:v>
                </c:pt>
                <c:pt idx="149">
                  <c:v>342.98</c:v>
                </c:pt>
                <c:pt idx="150">
                  <c:v>345.36</c:v>
                </c:pt>
                <c:pt idx="151">
                  <c:v>342.12</c:v>
                </c:pt>
                <c:pt idx="152">
                  <c:v>346.52</c:v>
                </c:pt>
                <c:pt idx="153">
                  <c:v>323.57</c:v>
                </c:pt>
                <c:pt idx="154">
                  <c:v>332.55</c:v>
                </c:pt>
                <c:pt idx="155">
                  <c:v>315.48</c:v>
                </c:pt>
                <c:pt idx="156">
                  <c:v>317.2</c:v>
                </c:pt>
                <c:pt idx="157">
                  <c:v>312.38</c:v>
                </c:pt>
                <c:pt idx="158">
                  <c:v>303.19</c:v>
                </c:pt>
                <c:pt idx="159">
                  <c:v>319.39</c:v>
                </c:pt>
                <c:pt idx="160">
                  <c:v>315</c:v>
                </c:pt>
                <c:pt idx="161">
                  <c:v>294.5</c:v>
                </c:pt>
                <c:pt idx="162">
                  <c:v>284.70999999999998</c:v>
                </c:pt>
                <c:pt idx="163">
                  <c:v>265.64999999999998</c:v>
                </c:pt>
                <c:pt idx="164">
                  <c:v>263.24</c:v>
                </c:pt>
                <c:pt idx="165">
                  <c:v>286.42</c:v>
                </c:pt>
                <c:pt idx="166">
                  <c:v>287.48</c:v>
                </c:pt>
                <c:pt idx="167">
                  <c:v>263.91000000000003</c:v>
                </c:pt>
                <c:pt idx="168">
                  <c:v>255.76</c:v>
                </c:pt>
                <c:pt idx="169">
                  <c:v>251.37</c:v>
                </c:pt>
                <c:pt idx="170">
                  <c:v>255.86</c:v>
                </c:pt>
                <c:pt idx="171">
                  <c:v>258.3</c:v>
                </c:pt>
                <c:pt idx="172">
                  <c:v>247.17</c:v>
                </c:pt>
                <c:pt idx="173">
                  <c:v>243.35</c:v>
                </c:pt>
                <c:pt idx="174">
                  <c:v>238.05</c:v>
                </c:pt>
                <c:pt idx="175">
                  <c:v>247.69</c:v>
                </c:pt>
                <c:pt idx="176">
                  <c:v>254.55</c:v>
                </c:pt>
                <c:pt idx="177">
                  <c:v>268.14999999999998</c:v>
                </c:pt>
                <c:pt idx="178">
                  <c:v>280.27</c:v>
                </c:pt>
                <c:pt idx="179">
                  <c:v>261.33</c:v>
                </c:pt>
                <c:pt idx="180">
                  <c:v>252.6</c:v>
                </c:pt>
                <c:pt idx="181">
                  <c:v>256.79000000000002</c:v>
                </c:pt>
                <c:pt idx="182">
                  <c:v>252.37</c:v>
                </c:pt>
                <c:pt idx="183">
                  <c:v>251.05</c:v>
                </c:pt>
                <c:pt idx="184">
                  <c:v>250.15</c:v>
                </c:pt>
                <c:pt idx="185">
                  <c:v>234.23</c:v>
                </c:pt>
                <c:pt idx="186">
                  <c:v>234</c:v>
                </c:pt>
                <c:pt idx="187">
                  <c:v>232.33</c:v>
                </c:pt>
                <c:pt idx="188">
                  <c:v>225.01</c:v>
                </c:pt>
                <c:pt idx="189">
                  <c:v>237.23</c:v>
                </c:pt>
                <c:pt idx="190">
                  <c:v>234.7</c:v>
                </c:pt>
                <c:pt idx="191">
                  <c:v>228.23</c:v>
                </c:pt>
                <c:pt idx="192">
                  <c:v>230.03</c:v>
                </c:pt>
                <c:pt idx="193">
                  <c:v>222</c:v>
                </c:pt>
                <c:pt idx="194">
                  <c:v>219.5</c:v>
                </c:pt>
                <c:pt idx="195">
                  <c:v>221.62</c:v>
                </c:pt>
                <c:pt idx="196">
                  <c:v>191.97</c:v>
                </c:pt>
                <c:pt idx="197">
                  <c:v>191.48</c:v>
                </c:pt>
                <c:pt idx="198">
                  <c:v>185.63</c:v>
                </c:pt>
                <c:pt idx="199">
                  <c:v>178.64</c:v>
                </c:pt>
                <c:pt idx="200">
                  <c:v>170.2</c:v>
                </c:pt>
                <c:pt idx="201">
                  <c:v>177.58</c:v>
                </c:pt>
                <c:pt idx="202">
                  <c:v>190.15</c:v>
                </c:pt>
                <c:pt idx="203">
                  <c:v>197.73</c:v>
                </c:pt>
                <c:pt idx="204">
                  <c:v>187.37</c:v>
                </c:pt>
                <c:pt idx="205">
                  <c:v>181.31</c:v>
                </c:pt>
                <c:pt idx="206">
                  <c:v>194.44</c:v>
                </c:pt>
                <c:pt idx="207">
                  <c:v>205.74</c:v>
                </c:pt>
                <c:pt idx="208">
                  <c:v>208.73</c:v>
                </c:pt>
                <c:pt idx="209">
                  <c:v>214.5</c:v>
                </c:pt>
                <c:pt idx="210">
                  <c:v>204.77</c:v>
                </c:pt>
                <c:pt idx="211">
                  <c:v>194.53</c:v>
                </c:pt>
                <c:pt idx="212">
                  <c:v>195.25</c:v>
                </c:pt>
                <c:pt idx="213">
                  <c:v>208.95</c:v>
                </c:pt>
                <c:pt idx="214">
                  <c:v>207.96</c:v>
                </c:pt>
                <c:pt idx="215">
                  <c:v>191.92</c:v>
                </c:pt>
                <c:pt idx="216">
                  <c:v>189.16</c:v>
                </c:pt>
                <c:pt idx="217">
                  <c:v>176.76</c:v>
                </c:pt>
                <c:pt idx="218">
                  <c:v>172.74</c:v>
                </c:pt>
                <c:pt idx="219">
                  <c:v>179.56</c:v>
                </c:pt>
                <c:pt idx="220">
                  <c:v>176.83</c:v>
                </c:pt>
                <c:pt idx="221">
                  <c:v>190.77</c:v>
                </c:pt>
                <c:pt idx="222">
                  <c:v>196.17</c:v>
                </c:pt>
                <c:pt idx="223">
                  <c:v>194.5</c:v>
                </c:pt>
                <c:pt idx="224">
                  <c:v>178.03</c:v>
                </c:pt>
                <c:pt idx="225">
                  <c:v>165.75</c:v>
                </c:pt>
                <c:pt idx="226">
                  <c:v>161.13999999999999</c:v>
                </c:pt>
                <c:pt idx="227">
                  <c:v>161.99</c:v>
                </c:pt>
                <c:pt idx="228">
                  <c:v>178.97</c:v>
                </c:pt>
                <c:pt idx="229">
                  <c:v>172.97</c:v>
                </c:pt>
                <c:pt idx="230">
                  <c:v>160.07</c:v>
                </c:pt>
                <c:pt idx="231">
                  <c:v>153.19</c:v>
                </c:pt>
                <c:pt idx="232">
                  <c:v>155.97999999999999</c:v>
                </c:pt>
                <c:pt idx="233">
                  <c:v>172.53</c:v>
                </c:pt>
                <c:pt idx="234">
                  <c:v>177.22</c:v>
                </c:pt>
                <c:pt idx="235">
                  <c:v>185.94</c:v>
                </c:pt>
                <c:pt idx="236">
                  <c:v>176.81</c:v>
                </c:pt>
                <c:pt idx="237">
                  <c:v>186.08</c:v>
                </c:pt>
                <c:pt idx="238">
                  <c:v>183.11</c:v>
                </c:pt>
                <c:pt idx="239">
                  <c:v>190.19</c:v>
                </c:pt>
                <c:pt idx="240">
                  <c:v>186.71</c:v>
                </c:pt>
                <c:pt idx="241">
                  <c:v>201.41</c:v>
                </c:pt>
                <c:pt idx="242">
                  <c:v>204.53</c:v>
                </c:pt>
                <c:pt idx="243">
                  <c:v>196.7</c:v>
                </c:pt>
                <c:pt idx="244">
                  <c:v>189.86</c:v>
                </c:pt>
                <c:pt idx="245">
                  <c:v>186.96</c:v>
                </c:pt>
                <c:pt idx="246">
                  <c:v>191.65</c:v>
                </c:pt>
                <c:pt idx="247">
                  <c:v>177.17</c:v>
                </c:pt>
                <c:pt idx="248">
                  <c:v>166.84</c:v>
                </c:pt>
                <c:pt idx="249">
                  <c:v>166.19</c:v>
                </c:pt>
                <c:pt idx="250">
                  <c:v>160.94</c:v>
                </c:pt>
                <c:pt idx="251">
                  <c:v>153.87</c:v>
                </c:pt>
                <c:pt idx="252">
                  <c:v>149.85</c:v>
                </c:pt>
                <c:pt idx="253">
                  <c:v>154.79</c:v>
                </c:pt>
                <c:pt idx="254">
                  <c:v>147.29</c:v>
                </c:pt>
                <c:pt idx="255">
                  <c:v>145.16</c:v>
                </c:pt>
                <c:pt idx="256">
                  <c:v>151.27000000000001</c:v>
                </c:pt>
                <c:pt idx="257">
                  <c:v>147.13</c:v>
                </c:pt>
                <c:pt idx="258">
                  <c:v>137.32</c:v>
                </c:pt>
                <c:pt idx="259">
                  <c:v>131.52000000000001</c:v>
                </c:pt>
                <c:pt idx="260">
                  <c:v>135.13999999999999</c:v>
                </c:pt>
                <c:pt idx="261">
                  <c:v>127.15</c:v>
                </c:pt>
                <c:pt idx="262">
                  <c:v>122.55</c:v>
                </c:pt>
                <c:pt idx="263">
                  <c:v>122.69</c:v>
                </c:pt>
                <c:pt idx="264">
                  <c:v>112.71</c:v>
                </c:pt>
                <c:pt idx="265">
                  <c:v>121.34</c:v>
                </c:pt>
                <c:pt idx="266">
                  <c:v>123.56</c:v>
                </c:pt>
                <c:pt idx="267">
                  <c:v>130.15</c:v>
                </c:pt>
                <c:pt idx="268">
                  <c:v>114.25</c:v>
                </c:pt>
                <c:pt idx="269">
                  <c:v>103.74</c:v>
                </c:pt>
                <c:pt idx="270">
                  <c:v>83.51</c:v>
                </c:pt>
                <c:pt idx="271">
                  <c:v>72.989999999999995</c:v>
                </c:pt>
                <c:pt idx="272">
                  <c:v>53.72</c:v>
                </c:pt>
                <c:pt idx="273">
                  <c:v>58.5</c:v>
                </c:pt>
                <c:pt idx="274">
                  <c:v>67.87</c:v>
                </c:pt>
                <c:pt idx="275">
                  <c:v>61.7</c:v>
                </c:pt>
                <c:pt idx="276">
                  <c:v>70</c:v>
                </c:pt>
                <c:pt idx="277">
                  <c:v>63.03</c:v>
                </c:pt>
                <c:pt idx="278">
                  <c:v>67.42</c:v>
                </c:pt>
                <c:pt idx="279">
                  <c:v>66.150000000000006</c:v>
                </c:pt>
                <c:pt idx="280">
                  <c:v>66.099999999999994</c:v>
                </c:pt>
                <c:pt idx="281">
                  <c:v>61.36</c:v>
                </c:pt>
                <c:pt idx="282">
                  <c:v>67.17</c:v>
                </c:pt>
                <c:pt idx="283">
                  <c:v>69.87</c:v>
                </c:pt>
                <c:pt idx="284">
                  <c:v>75.319999999999993</c:v>
                </c:pt>
                <c:pt idx="285">
                  <c:v>78.099999999999994</c:v>
                </c:pt>
                <c:pt idx="286">
                  <c:v>68.63</c:v>
                </c:pt>
                <c:pt idx="287">
                  <c:v>73.819999999999993</c:v>
                </c:pt>
                <c:pt idx="288">
                  <c:v>66.69</c:v>
                </c:pt>
                <c:pt idx="289">
                  <c:v>70.67</c:v>
                </c:pt>
                <c:pt idx="290">
                  <c:v>69.569999999999993</c:v>
                </c:pt>
                <c:pt idx="291">
                  <c:v>69.2</c:v>
                </c:pt>
                <c:pt idx="292">
                  <c:v>63.76</c:v>
                </c:pt>
                <c:pt idx="293">
                  <c:v>58.71</c:v>
                </c:pt>
                <c:pt idx="294">
                  <c:v>52.01</c:v>
                </c:pt>
                <c:pt idx="295">
                  <c:v>51.58</c:v>
                </c:pt>
                <c:pt idx="296">
                  <c:v>55.01</c:v>
                </c:pt>
                <c:pt idx="297">
                  <c:v>51.05</c:v>
                </c:pt>
                <c:pt idx="298">
                  <c:v>51.22</c:v>
                </c:pt>
                <c:pt idx="299">
                  <c:v>57.49</c:v>
                </c:pt>
                <c:pt idx="300">
                  <c:v>51.91</c:v>
                </c:pt>
                <c:pt idx="301">
                  <c:v>58.88</c:v>
                </c:pt>
                <c:pt idx="302">
                  <c:v>62.71</c:v>
                </c:pt>
                <c:pt idx="303">
                  <c:v>55.96</c:v>
                </c:pt>
                <c:pt idx="304">
                  <c:v>51.18</c:v>
                </c:pt>
                <c:pt idx="305">
                  <c:v>49.75</c:v>
                </c:pt>
                <c:pt idx="306">
                  <c:v>47.02</c:v>
                </c:pt>
                <c:pt idx="307">
                  <c:v>49.04</c:v>
                </c:pt>
                <c:pt idx="308">
                  <c:v>55.41</c:v>
                </c:pt>
                <c:pt idx="309">
                  <c:v>51.71</c:v>
                </c:pt>
                <c:pt idx="310">
                  <c:v>57.46</c:v>
                </c:pt>
                <c:pt idx="311">
                  <c:v>60.29</c:v>
                </c:pt>
                <c:pt idx="312">
                  <c:v>53.88</c:v>
                </c:pt>
                <c:pt idx="313">
                  <c:v>54.24</c:v>
                </c:pt>
                <c:pt idx="314">
                  <c:v>53.1</c:v>
                </c:pt>
                <c:pt idx="315">
                  <c:v>53.42</c:v>
                </c:pt>
                <c:pt idx="316">
                  <c:v>53.79</c:v>
                </c:pt>
                <c:pt idx="317">
                  <c:v>58.67</c:v>
                </c:pt>
                <c:pt idx="318">
                  <c:v>65.83</c:v>
                </c:pt>
                <c:pt idx="319">
                  <c:v>75.27</c:v>
                </c:pt>
                <c:pt idx="320">
                  <c:v>73.98</c:v>
                </c:pt>
                <c:pt idx="321">
                  <c:v>70.819999999999993</c:v>
                </c:pt>
                <c:pt idx="322">
                  <c:v>67.069999999999993</c:v>
                </c:pt>
                <c:pt idx="323">
                  <c:v>52.93</c:v>
                </c:pt>
                <c:pt idx="324">
                  <c:v>58.83</c:v>
                </c:pt>
                <c:pt idx="325">
                  <c:v>62.25</c:v>
                </c:pt>
                <c:pt idx="326">
                  <c:v>62.96</c:v>
                </c:pt>
                <c:pt idx="327">
                  <c:v>62.7</c:v>
                </c:pt>
                <c:pt idx="328">
                  <c:v>67.23</c:v>
                </c:pt>
                <c:pt idx="329">
                  <c:v>80.81</c:v>
                </c:pt>
                <c:pt idx="330">
                  <c:v>88.9</c:v>
                </c:pt>
                <c:pt idx="331">
                  <c:v>93.05</c:v>
                </c:pt>
                <c:pt idx="332">
                  <c:v>98.02</c:v>
                </c:pt>
                <c:pt idx="333">
                  <c:v>87.68</c:v>
                </c:pt>
                <c:pt idx="334">
                  <c:v>94.14</c:v>
                </c:pt>
                <c:pt idx="335">
                  <c:v>84</c:v>
                </c:pt>
                <c:pt idx="336">
                  <c:v>90.49</c:v>
                </c:pt>
                <c:pt idx="337">
                  <c:v>91.97</c:v>
                </c:pt>
                <c:pt idx="338">
                  <c:v>90.39</c:v>
                </c:pt>
                <c:pt idx="339">
                  <c:v>85.44</c:v>
                </c:pt>
                <c:pt idx="340">
                  <c:v>83.47</c:v>
                </c:pt>
                <c:pt idx="341">
                  <c:v>74.06</c:v>
                </c:pt>
                <c:pt idx="342">
                  <c:v>71.47</c:v>
                </c:pt>
                <c:pt idx="343">
                  <c:v>71.180000000000007</c:v>
                </c:pt>
                <c:pt idx="344">
                  <c:v>71.48</c:v>
                </c:pt>
                <c:pt idx="345">
                  <c:v>71.37</c:v>
                </c:pt>
                <c:pt idx="346">
                  <c:v>66.739999999999995</c:v>
                </c:pt>
                <c:pt idx="347">
                  <c:v>66.34</c:v>
                </c:pt>
                <c:pt idx="348">
                  <c:v>67.03</c:v>
                </c:pt>
                <c:pt idx="349">
                  <c:v>66.8</c:v>
                </c:pt>
                <c:pt idx="350">
                  <c:v>65.53</c:v>
                </c:pt>
                <c:pt idx="351">
                  <c:v>65.260000000000005</c:v>
                </c:pt>
                <c:pt idx="352">
                  <c:v>62.78</c:v>
                </c:pt>
                <c:pt idx="353">
                  <c:v>68.25</c:v>
                </c:pt>
                <c:pt idx="354">
                  <c:v>73.08</c:v>
                </c:pt>
                <c:pt idx="355">
                  <c:v>80.87</c:v>
                </c:pt>
                <c:pt idx="356">
                  <c:v>82.55</c:v>
                </c:pt>
                <c:pt idx="357">
                  <c:v>75.25</c:v>
                </c:pt>
                <c:pt idx="358">
                  <c:v>78.7</c:v>
                </c:pt>
                <c:pt idx="359">
                  <c:v>77.23</c:v>
                </c:pt>
                <c:pt idx="360">
                  <c:v>74</c:v>
                </c:pt>
                <c:pt idx="361">
                  <c:v>69.930000000000007</c:v>
                </c:pt>
                <c:pt idx="362">
                  <c:v>67.94</c:v>
                </c:pt>
                <c:pt idx="363">
                  <c:v>67.64</c:v>
                </c:pt>
                <c:pt idx="364">
                  <c:v>62.94</c:v>
                </c:pt>
                <c:pt idx="365">
                  <c:v>61.88</c:v>
                </c:pt>
                <c:pt idx="366">
                  <c:v>62.28</c:v>
                </c:pt>
                <c:pt idx="367">
                  <c:v>63.05</c:v>
                </c:pt>
                <c:pt idx="368">
                  <c:v>67.31</c:v>
                </c:pt>
                <c:pt idx="369">
                  <c:v>61.94</c:v>
                </c:pt>
                <c:pt idx="370">
                  <c:v>64.489999999999995</c:v>
                </c:pt>
                <c:pt idx="371">
                  <c:v>65.95</c:v>
                </c:pt>
                <c:pt idx="372">
                  <c:v>74.5</c:v>
                </c:pt>
                <c:pt idx="373">
                  <c:v>72.97</c:v>
                </c:pt>
                <c:pt idx="374">
                  <c:v>73.91</c:v>
                </c:pt>
                <c:pt idx="375">
                  <c:v>67</c:v>
                </c:pt>
                <c:pt idx="376">
                  <c:v>67.040000000000006</c:v>
                </c:pt>
                <c:pt idx="377">
                  <c:v>70.16</c:v>
                </c:pt>
                <c:pt idx="378">
                  <c:v>69.95</c:v>
                </c:pt>
                <c:pt idx="379">
                  <c:v>69.260000000000005</c:v>
                </c:pt>
                <c:pt idx="380">
                  <c:v>63.59</c:v>
                </c:pt>
                <c:pt idx="381">
                  <c:v>69.17</c:v>
                </c:pt>
                <c:pt idx="382">
                  <c:v>66.209999999999994</c:v>
                </c:pt>
                <c:pt idx="383">
                  <c:v>63.19</c:v>
                </c:pt>
                <c:pt idx="384">
                  <c:v>63.59</c:v>
                </c:pt>
                <c:pt idx="385">
                  <c:v>66.38</c:v>
                </c:pt>
                <c:pt idx="386">
                  <c:v>66.39</c:v>
                </c:pt>
                <c:pt idx="387">
                  <c:v>75.05</c:v>
                </c:pt>
                <c:pt idx="388">
                  <c:v>73.81</c:v>
                </c:pt>
                <c:pt idx="389">
                  <c:v>72.47</c:v>
                </c:pt>
                <c:pt idx="390">
                  <c:v>72.069999999999993</c:v>
                </c:pt>
                <c:pt idx="391">
                  <c:v>66.25</c:v>
                </c:pt>
                <c:pt idx="392">
                  <c:v>63.29</c:v>
                </c:pt>
                <c:pt idx="393">
                  <c:v>60.71</c:v>
                </c:pt>
                <c:pt idx="394">
                  <c:v>55.8</c:v>
                </c:pt>
                <c:pt idx="395">
                  <c:v>58.82</c:v>
                </c:pt>
                <c:pt idx="396">
                  <c:v>56.97</c:v>
                </c:pt>
                <c:pt idx="397">
                  <c:v>50.83</c:v>
                </c:pt>
                <c:pt idx="398">
                  <c:v>45.98</c:v>
                </c:pt>
                <c:pt idx="399">
                  <c:v>50.92</c:v>
                </c:pt>
                <c:pt idx="400">
                  <c:v>57.46</c:v>
                </c:pt>
                <c:pt idx="401">
                  <c:v>53.22</c:v>
                </c:pt>
                <c:pt idx="402">
                  <c:v>55.53</c:v>
                </c:pt>
                <c:pt idx="403">
                  <c:v>48.83</c:v>
                </c:pt>
                <c:pt idx="404">
                  <c:v>48.79</c:v>
                </c:pt>
                <c:pt idx="405">
                  <c:v>45.26</c:v>
                </c:pt>
                <c:pt idx="406">
                  <c:v>41.23</c:v>
                </c:pt>
                <c:pt idx="407">
                  <c:v>43.39</c:v>
                </c:pt>
                <c:pt idx="408">
                  <c:v>45.57</c:v>
                </c:pt>
                <c:pt idx="409">
                  <c:v>44.28</c:v>
                </c:pt>
                <c:pt idx="410">
                  <c:v>42.51</c:v>
                </c:pt>
                <c:pt idx="411">
                  <c:v>43.11</c:v>
                </c:pt>
                <c:pt idx="412">
                  <c:v>45.73</c:v>
                </c:pt>
                <c:pt idx="413">
                  <c:v>45.27</c:v>
                </c:pt>
                <c:pt idx="414">
                  <c:v>47.67</c:v>
                </c:pt>
                <c:pt idx="415">
                  <c:v>46</c:v>
                </c:pt>
                <c:pt idx="416">
                  <c:v>42.41</c:v>
                </c:pt>
                <c:pt idx="417">
                  <c:v>41.26</c:v>
                </c:pt>
                <c:pt idx="418">
                  <c:v>42.81</c:v>
                </c:pt>
                <c:pt idx="419">
                  <c:v>40.24</c:v>
                </c:pt>
                <c:pt idx="420">
                  <c:v>42.6</c:v>
                </c:pt>
                <c:pt idx="421">
                  <c:v>38.69</c:v>
                </c:pt>
                <c:pt idx="422">
                  <c:v>40.19</c:v>
                </c:pt>
                <c:pt idx="423">
                  <c:v>37.979999999999997</c:v>
                </c:pt>
                <c:pt idx="424">
                  <c:v>36.6</c:v>
                </c:pt>
                <c:pt idx="425">
                  <c:v>35.17</c:v>
                </c:pt>
                <c:pt idx="426">
                  <c:v>34.97</c:v>
                </c:pt>
                <c:pt idx="427">
                  <c:v>35.15</c:v>
                </c:pt>
                <c:pt idx="428">
                  <c:v>34.590000000000003</c:v>
                </c:pt>
                <c:pt idx="429">
                  <c:v>35.49</c:v>
                </c:pt>
                <c:pt idx="430">
                  <c:v>32.65</c:v>
                </c:pt>
                <c:pt idx="431">
                  <c:v>32.53</c:v>
                </c:pt>
                <c:pt idx="432">
                  <c:v>34.78</c:v>
                </c:pt>
                <c:pt idx="433">
                  <c:v>35.39</c:v>
                </c:pt>
                <c:pt idx="434">
                  <c:v>33.6</c:v>
                </c:pt>
                <c:pt idx="435">
                  <c:v>37.700000000000003</c:v>
                </c:pt>
                <c:pt idx="436">
                  <c:v>33.53</c:v>
                </c:pt>
                <c:pt idx="437">
                  <c:v>33.26</c:v>
                </c:pt>
                <c:pt idx="438">
                  <c:v>38.270000000000003</c:v>
                </c:pt>
                <c:pt idx="439">
                  <c:v>43.23</c:v>
                </c:pt>
                <c:pt idx="440">
                  <c:v>43.79</c:v>
                </c:pt>
                <c:pt idx="441">
                  <c:v>47.55</c:v>
                </c:pt>
                <c:pt idx="442">
                  <c:v>49.98</c:v>
                </c:pt>
                <c:pt idx="443">
                  <c:v>54.14</c:v>
                </c:pt>
                <c:pt idx="444">
                  <c:v>50.21</c:v>
                </c:pt>
                <c:pt idx="445">
                  <c:v>49.42</c:v>
                </c:pt>
                <c:pt idx="446">
                  <c:v>55.16</c:v>
                </c:pt>
                <c:pt idx="447">
                  <c:v>55.96</c:v>
                </c:pt>
                <c:pt idx="448">
                  <c:v>53.56</c:v>
                </c:pt>
                <c:pt idx="449">
                  <c:v>52.76</c:v>
                </c:pt>
                <c:pt idx="450">
                  <c:v>53.02</c:v>
                </c:pt>
                <c:pt idx="451">
                  <c:v>61.37</c:v>
                </c:pt>
                <c:pt idx="452">
                  <c:v>56.16</c:v>
                </c:pt>
                <c:pt idx="453">
                  <c:v>58.48</c:v>
                </c:pt>
                <c:pt idx="454">
                  <c:v>65.7</c:v>
                </c:pt>
                <c:pt idx="455">
                  <c:v>81.459999999999994</c:v>
                </c:pt>
                <c:pt idx="456">
                  <c:v>74.63</c:v>
                </c:pt>
                <c:pt idx="457">
                  <c:v>74.59</c:v>
                </c:pt>
                <c:pt idx="458">
                  <c:v>71.42</c:v>
                </c:pt>
                <c:pt idx="459">
                  <c:v>69.44</c:v>
                </c:pt>
                <c:pt idx="460">
                  <c:v>59.63</c:v>
                </c:pt>
                <c:pt idx="461">
                  <c:v>57.09</c:v>
                </c:pt>
                <c:pt idx="462">
                  <c:v>56.4</c:v>
                </c:pt>
                <c:pt idx="463">
                  <c:v>59.03</c:v>
                </c:pt>
                <c:pt idx="464">
                  <c:v>69.34</c:v>
                </c:pt>
                <c:pt idx="465">
                  <c:v>65.59</c:v>
                </c:pt>
                <c:pt idx="466">
                  <c:v>65.2</c:v>
                </c:pt>
                <c:pt idx="467">
                  <c:v>62.07</c:v>
                </c:pt>
                <c:pt idx="468">
                  <c:v>61.18</c:v>
                </c:pt>
                <c:pt idx="469">
                  <c:v>62.36</c:v>
                </c:pt>
                <c:pt idx="470">
                  <c:v>58.44</c:v>
                </c:pt>
                <c:pt idx="471">
                  <c:v>58.96</c:v>
                </c:pt>
                <c:pt idx="472">
                  <c:v>64.83</c:v>
                </c:pt>
                <c:pt idx="473">
                  <c:v>64.67</c:v>
                </c:pt>
                <c:pt idx="474">
                  <c:v>63.7</c:v>
                </c:pt>
                <c:pt idx="475">
                  <c:v>64.510000000000005</c:v>
                </c:pt>
                <c:pt idx="476">
                  <c:v>62.77</c:v>
                </c:pt>
                <c:pt idx="477">
                  <c:v>61.89</c:v>
                </c:pt>
                <c:pt idx="478">
                  <c:v>63.01</c:v>
                </c:pt>
                <c:pt idx="479">
                  <c:v>58.09</c:v>
                </c:pt>
                <c:pt idx="480">
                  <c:v>53.44</c:v>
                </c:pt>
                <c:pt idx="481">
                  <c:v>59.17</c:v>
                </c:pt>
                <c:pt idx="482">
                  <c:v>62.65</c:v>
                </c:pt>
                <c:pt idx="483">
                  <c:v>64.47</c:v>
                </c:pt>
                <c:pt idx="484">
                  <c:v>67.78</c:v>
                </c:pt>
                <c:pt idx="485">
                  <c:v>74.98</c:v>
                </c:pt>
                <c:pt idx="486">
                  <c:v>75.14</c:v>
                </c:pt>
                <c:pt idx="487">
                  <c:v>83.99</c:v>
                </c:pt>
                <c:pt idx="488">
                  <c:v>77.14</c:v>
                </c:pt>
                <c:pt idx="489">
                  <c:v>66.3</c:v>
                </c:pt>
                <c:pt idx="490">
                  <c:v>67.83</c:v>
                </c:pt>
                <c:pt idx="491">
                  <c:v>62.54</c:v>
                </c:pt>
                <c:pt idx="492">
                  <c:v>63.04</c:v>
                </c:pt>
                <c:pt idx="493">
                  <c:v>65.3</c:v>
                </c:pt>
                <c:pt idx="494">
                  <c:v>64.16</c:v>
                </c:pt>
                <c:pt idx="495">
                  <c:v>67.569999999999993</c:v>
                </c:pt>
                <c:pt idx="496">
                  <c:v>63.61</c:v>
                </c:pt>
                <c:pt idx="497">
                  <c:v>62.54</c:v>
                </c:pt>
                <c:pt idx="498">
                  <c:v>60.78</c:v>
                </c:pt>
                <c:pt idx="499">
                  <c:v>61.44</c:v>
                </c:pt>
                <c:pt idx="500">
                  <c:v>66.13</c:v>
                </c:pt>
                <c:pt idx="501">
                  <c:v>70.19</c:v>
                </c:pt>
                <c:pt idx="502">
                  <c:v>67.84</c:v>
                </c:pt>
                <c:pt idx="503">
                  <c:v>68.95</c:v>
                </c:pt>
                <c:pt idx="504">
                  <c:v>69.91</c:v>
                </c:pt>
                <c:pt idx="505">
                  <c:v>67.72</c:v>
                </c:pt>
                <c:pt idx="506">
                  <c:v>67.260000000000005</c:v>
                </c:pt>
                <c:pt idx="507">
                  <c:v>64.44</c:v>
                </c:pt>
                <c:pt idx="508">
                  <c:v>60.5</c:v>
                </c:pt>
                <c:pt idx="509">
                  <c:v>59.04</c:v>
                </c:pt>
                <c:pt idx="510">
                  <c:v>54.75</c:v>
                </c:pt>
                <c:pt idx="511">
                  <c:v>55.55</c:v>
                </c:pt>
                <c:pt idx="512">
                  <c:v>53.89</c:v>
                </c:pt>
                <c:pt idx="513">
                  <c:v>54.17</c:v>
                </c:pt>
                <c:pt idx="514">
                  <c:v>53.79</c:v>
                </c:pt>
                <c:pt idx="515">
                  <c:v>50.14</c:v>
                </c:pt>
                <c:pt idx="516">
                  <c:v>51.32</c:v>
                </c:pt>
                <c:pt idx="517">
                  <c:v>48.49</c:v>
                </c:pt>
                <c:pt idx="518">
                  <c:v>49.22</c:v>
                </c:pt>
                <c:pt idx="519">
                  <c:v>58.24</c:v>
                </c:pt>
                <c:pt idx="520">
                  <c:v>58.1</c:v>
                </c:pt>
                <c:pt idx="521">
                  <c:v>60.21</c:v>
                </c:pt>
                <c:pt idx="522">
                  <c:v>62.64</c:v>
                </c:pt>
                <c:pt idx="523">
                  <c:v>60.35</c:v>
                </c:pt>
                <c:pt idx="524">
                  <c:v>57.34</c:v>
                </c:pt>
                <c:pt idx="525">
                  <c:v>60.77</c:v>
                </c:pt>
                <c:pt idx="526">
                  <c:v>57.88</c:v>
                </c:pt>
                <c:pt idx="527">
                  <c:v>61.04</c:v>
                </c:pt>
                <c:pt idx="528">
                  <c:v>60.26</c:v>
                </c:pt>
                <c:pt idx="529">
                  <c:v>56.78</c:v>
                </c:pt>
                <c:pt idx="530">
                  <c:v>61.07</c:v>
                </c:pt>
                <c:pt idx="531">
                  <c:v>59.1</c:v>
                </c:pt>
                <c:pt idx="532">
                  <c:v>58.36</c:v>
                </c:pt>
                <c:pt idx="533">
                  <c:v>56.87</c:v>
                </c:pt>
                <c:pt idx="534">
                  <c:v>56.92</c:v>
                </c:pt>
                <c:pt idx="535">
                  <c:v>61.17</c:v>
                </c:pt>
                <c:pt idx="536">
                  <c:v>62.2</c:v>
                </c:pt>
                <c:pt idx="537">
                  <c:v>63.57</c:v>
                </c:pt>
                <c:pt idx="538">
                  <c:v>64.55</c:v>
                </c:pt>
                <c:pt idx="539">
                  <c:v>58.71</c:v>
                </c:pt>
                <c:pt idx="540">
                  <c:v>51.61</c:v>
                </c:pt>
                <c:pt idx="541">
                  <c:v>53.26</c:v>
                </c:pt>
                <c:pt idx="542">
                  <c:v>54.9</c:v>
                </c:pt>
                <c:pt idx="543">
                  <c:v>53.28</c:v>
                </c:pt>
                <c:pt idx="544">
                  <c:v>50.56</c:v>
                </c:pt>
                <c:pt idx="545">
                  <c:v>52.4</c:v>
                </c:pt>
                <c:pt idx="546">
                  <c:v>53.9</c:v>
                </c:pt>
                <c:pt idx="547">
                  <c:v>54.25</c:v>
                </c:pt>
                <c:pt idx="548">
                  <c:v>55.59</c:v>
                </c:pt>
                <c:pt idx="549">
                  <c:v>57.09</c:v>
                </c:pt>
                <c:pt idx="550">
                  <c:v>58.1</c:v>
                </c:pt>
                <c:pt idx="551">
                  <c:v>57.49</c:v>
                </c:pt>
                <c:pt idx="552">
                  <c:v>61.47</c:v>
                </c:pt>
                <c:pt idx="553">
                  <c:v>61.94</c:v>
                </c:pt>
                <c:pt idx="554">
                  <c:v>69.89</c:v>
                </c:pt>
                <c:pt idx="555">
                  <c:v>70.75</c:v>
                </c:pt>
                <c:pt idx="556">
                  <c:v>72.430000000000007</c:v>
                </c:pt>
                <c:pt idx="557">
                  <c:v>71.55</c:v>
                </c:pt>
                <c:pt idx="558">
                  <c:v>79.930000000000007</c:v>
                </c:pt>
                <c:pt idx="559">
                  <c:v>78.349999999999994</c:v>
                </c:pt>
                <c:pt idx="560">
                  <c:v>78.099999999999994</c:v>
                </c:pt>
                <c:pt idx="561">
                  <c:v>78.72</c:v>
                </c:pt>
                <c:pt idx="562">
                  <c:v>81.209999999999994</c:v>
                </c:pt>
                <c:pt idx="563">
                  <c:v>89.15</c:v>
                </c:pt>
                <c:pt idx="564">
                  <c:v>85.95</c:v>
                </c:pt>
                <c:pt idx="565">
                  <c:v>107</c:v>
                </c:pt>
                <c:pt idx="566">
                  <c:v>105.31</c:v>
                </c:pt>
                <c:pt idx="567">
                  <c:v>105.55</c:v>
                </c:pt>
                <c:pt idx="568">
                  <c:v>104.59</c:v>
                </c:pt>
                <c:pt idx="569">
                  <c:v>110.15</c:v>
                </c:pt>
                <c:pt idx="570">
                  <c:v>101.26</c:v>
                </c:pt>
                <c:pt idx="571">
                  <c:v>100.82</c:v>
                </c:pt>
                <c:pt idx="572">
                  <c:v>98.85</c:v>
                </c:pt>
                <c:pt idx="573">
                  <c:v>97.68</c:v>
                </c:pt>
                <c:pt idx="574">
                  <c:v>99.75</c:v>
                </c:pt>
                <c:pt idx="575">
                  <c:v>92.69</c:v>
                </c:pt>
                <c:pt idx="576">
                  <c:v>94.76</c:v>
                </c:pt>
                <c:pt idx="577">
                  <c:v>98.61</c:v>
                </c:pt>
                <c:pt idx="578">
                  <c:v>94.15</c:v>
                </c:pt>
                <c:pt idx="579">
                  <c:v>90.43</c:v>
                </c:pt>
                <c:pt idx="580">
                  <c:v>90.75</c:v>
                </c:pt>
                <c:pt idx="581">
                  <c:v>87.31</c:v>
                </c:pt>
                <c:pt idx="582">
                  <c:v>85.96</c:v>
                </c:pt>
                <c:pt idx="583">
                  <c:v>88.04</c:v>
                </c:pt>
                <c:pt idx="584">
                  <c:v>84.34</c:v>
                </c:pt>
                <c:pt idx="585">
                  <c:v>83.39</c:v>
                </c:pt>
                <c:pt idx="586">
                  <c:v>81.010000000000005</c:v>
                </c:pt>
                <c:pt idx="587">
                  <c:v>80.81</c:v>
                </c:pt>
                <c:pt idx="588">
                  <c:v>79.180000000000007</c:v>
                </c:pt>
                <c:pt idx="589">
                  <c:v>79</c:v>
                </c:pt>
                <c:pt idx="590">
                  <c:v>75.56</c:v>
                </c:pt>
                <c:pt idx="591">
                  <c:v>73.19</c:v>
                </c:pt>
                <c:pt idx="592">
                  <c:v>75.28</c:v>
                </c:pt>
                <c:pt idx="593">
                  <c:v>74.900000000000006</c:v>
                </c:pt>
                <c:pt idx="594">
                  <c:v>77.78</c:v>
                </c:pt>
                <c:pt idx="595">
                  <c:v>73.66</c:v>
                </c:pt>
                <c:pt idx="596">
                  <c:v>74.260000000000005</c:v>
                </c:pt>
                <c:pt idx="597">
                  <c:v>73.709999999999994</c:v>
                </c:pt>
                <c:pt idx="598">
                  <c:v>84.7</c:v>
                </c:pt>
                <c:pt idx="599">
                  <c:v>83.83</c:v>
                </c:pt>
                <c:pt idx="600">
                  <c:v>79.599999999999994</c:v>
                </c:pt>
                <c:pt idx="601">
                  <c:v>77.989999999999995</c:v>
                </c:pt>
                <c:pt idx="602">
                  <c:v>77.5</c:v>
                </c:pt>
                <c:pt idx="603">
                  <c:v>78.040000000000006</c:v>
                </c:pt>
                <c:pt idx="604">
                  <c:v>81.790000000000006</c:v>
                </c:pt>
                <c:pt idx="605">
                  <c:v>82.09</c:v>
                </c:pt>
                <c:pt idx="606">
                  <c:v>80.62</c:v>
                </c:pt>
                <c:pt idx="607">
                  <c:v>81.319999999999993</c:v>
                </c:pt>
                <c:pt idx="608">
                  <c:v>79.86</c:v>
                </c:pt>
                <c:pt idx="609">
                  <c:v>83.45</c:v>
                </c:pt>
                <c:pt idx="610">
                  <c:v>82.15</c:v>
                </c:pt>
                <c:pt idx="611">
                  <c:v>81.61</c:v>
                </c:pt>
                <c:pt idx="612">
                  <c:v>78.13</c:v>
                </c:pt>
                <c:pt idx="613">
                  <c:v>76.67</c:v>
                </c:pt>
                <c:pt idx="614">
                  <c:v>74.42</c:v>
                </c:pt>
                <c:pt idx="615">
                  <c:v>70.959999999999994</c:v>
                </c:pt>
                <c:pt idx="616">
                  <c:v>71.75</c:v>
                </c:pt>
                <c:pt idx="617">
                  <c:v>70.52</c:v>
                </c:pt>
                <c:pt idx="618">
                  <c:v>71.52</c:v>
                </c:pt>
                <c:pt idx="619">
                  <c:v>75.16</c:v>
                </c:pt>
                <c:pt idx="620">
                  <c:v>75.08</c:v>
                </c:pt>
                <c:pt idx="621">
                  <c:v>75.31</c:v>
                </c:pt>
                <c:pt idx="622">
                  <c:v>72.48</c:v>
                </c:pt>
                <c:pt idx="623">
                  <c:v>73.47</c:v>
                </c:pt>
                <c:pt idx="624">
                  <c:v>74.62</c:v>
                </c:pt>
                <c:pt idx="625">
                  <c:v>78.459999999999994</c:v>
                </c:pt>
                <c:pt idx="626">
                  <c:v>79.099999999999994</c:v>
                </c:pt>
                <c:pt idx="627">
                  <c:v>79.62</c:v>
                </c:pt>
                <c:pt idx="628">
                  <c:v>77.349999999999994</c:v>
                </c:pt>
                <c:pt idx="629">
                  <c:v>75.19</c:v>
                </c:pt>
                <c:pt idx="630">
                  <c:v>73.430000000000007</c:v>
                </c:pt>
                <c:pt idx="631">
                  <c:v>75.209999999999994</c:v>
                </c:pt>
                <c:pt idx="632">
                  <c:v>77.459999999999994</c:v>
                </c:pt>
                <c:pt idx="633">
                  <c:v>73.930000000000007</c:v>
                </c:pt>
                <c:pt idx="634">
                  <c:v>73.099999999999994</c:v>
                </c:pt>
                <c:pt idx="635">
                  <c:v>74.66</c:v>
                </c:pt>
                <c:pt idx="636">
                  <c:v>77.209999999999994</c:v>
                </c:pt>
                <c:pt idx="637">
                  <c:v>82.07</c:v>
                </c:pt>
                <c:pt idx="638">
                  <c:v>77.790000000000006</c:v>
                </c:pt>
                <c:pt idx="639">
                  <c:v>74.61</c:v>
                </c:pt>
                <c:pt idx="640">
                  <c:v>70.78</c:v>
                </c:pt>
                <c:pt idx="641">
                  <c:v>73.599999999999994</c:v>
                </c:pt>
                <c:pt idx="642">
                  <c:v>77.12</c:v>
                </c:pt>
                <c:pt idx="643">
                  <c:v>77.81</c:v>
                </c:pt>
                <c:pt idx="644">
                  <c:v>84.6</c:v>
                </c:pt>
                <c:pt idx="645">
                  <c:v>85.8</c:v>
                </c:pt>
                <c:pt idx="646">
                  <c:v>86.37</c:v>
                </c:pt>
                <c:pt idx="647">
                  <c:v>89.07</c:v>
                </c:pt>
                <c:pt idx="648">
                  <c:v>88.32</c:v>
                </c:pt>
                <c:pt idx="649">
                  <c:v>92.86</c:v>
                </c:pt>
                <c:pt idx="650">
                  <c:v>92.92</c:v>
                </c:pt>
                <c:pt idx="651">
                  <c:v>92.64</c:v>
                </c:pt>
                <c:pt idx="652">
                  <c:v>92.09</c:v>
                </c:pt>
                <c:pt idx="653">
                  <c:v>98.15</c:v>
                </c:pt>
                <c:pt idx="654">
                  <c:v>96.92</c:v>
                </c:pt>
                <c:pt idx="655">
                  <c:v>99.05</c:v>
                </c:pt>
                <c:pt idx="656">
                  <c:v>106.1</c:v>
                </c:pt>
                <c:pt idx="657">
                  <c:v>105.49</c:v>
                </c:pt>
                <c:pt idx="658">
                  <c:v>109.25</c:v>
                </c:pt>
                <c:pt idx="659">
                  <c:v>115.54</c:v>
                </c:pt>
                <c:pt idx="660">
                  <c:v>119.77</c:v>
                </c:pt>
                <c:pt idx="661">
                  <c:v>128.27000000000001</c:v>
                </c:pt>
                <c:pt idx="662">
                  <c:v>127.82</c:v>
                </c:pt>
                <c:pt idx="663">
                  <c:v>124.72</c:v>
                </c:pt>
                <c:pt idx="664">
                  <c:v>133.76</c:v>
                </c:pt>
                <c:pt idx="665">
                  <c:v>141.09</c:v>
                </c:pt>
                <c:pt idx="666">
                  <c:v>140.19999999999999</c:v>
                </c:pt>
                <c:pt idx="667">
                  <c:v>134.63</c:v>
                </c:pt>
                <c:pt idx="668">
                  <c:v>136.19</c:v>
                </c:pt>
                <c:pt idx="669">
                  <c:v>146.62</c:v>
                </c:pt>
                <c:pt idx="670">
                  <c:v>138.02000000000001</c:v>
                </c:pt>
                <c:pt idx="671">
                  <c:v>139.62</c:v>
                </c:pt>
                <c:pt idx="672">
                  <c:v>150.46</c:v>
                </c:pt>
                <c:pt idx="673">
                  <c:v>153.63</c:v>
                </c:pt>
                <c:pt idx="674">
                  <c:v>147.9</c:v>
                </c:pt>
                <c:pt idx="675">
                  <c:v>153.43</c:v>
                </c:pt>
                <c:pt idx="676">
                  <c:v>161.16</c:v>
                </c:pt>
                <c:pt idx="677">
                  <c:v>161.86000000000001</c:v>
                </c:pt>
                <c:pt idx="678">
                  <c:v>168.03</c:v>
                </c:pt>
                <c:pt idx="679">
                  <c:v>175.48</c:v>
                </c:pt>
                <c:pt idx="680">
                  <c:v>172.05</c:v>
                </c:pt>
                <c:pt idx="681">
                  <c:v>185.24</c:v>
                </c:pt>
                <c:pt idx="682">
                  <c:v>186.36</c:v>
                </c:pt>
                <c:pt idx="683">
                  <c:v>173.92</c:v>
                </c:pt>
                <c:pt idx="684">
                  <c:v>156.88</c:v>
                </c:pt>
                <c:pt idx="685">
                  <c:v>152.24</c:v>
                </c:pt>
                <c:pt idx="686">
                  <c:v>155.6</c:v>
                </c:pt>
                <c:pt idx="687">
                  <c:v>153.97999999999999</c:v>
                </c:pt>
                <c:pt idx="688">
                  <c:v>159.41999999999999</c:v>
                </c:pt>
                <c:pt idx="689">
                  <c:v>151.99</c:v>
                </c:pt>
                <c:pt idx="690">
                  <c:v>151.29</c:v>
                </c:pt>
                <c:pt idx="691">
                  <c:v>141.16</c:v>
                </c:pt>
                <c:pt idx="692">
                  <c:v>130.78</c:v>
                </c:pt>
                <c:pt idx="693">
                  <c:v>133.88</c:v>
                </c:pt>
                <c:pt idx="694">
                  <c:v>133.86000000000001</c:v>
                </c:pt>
                <c:pt idx="695">
                  <c:v>124.34</c:v>
                </c:pt>
                <c:pt idx="696">
                  <c:v>124.75</c:v>
                </c:pt>
                <c:pt idx="697">
                  <c:v>128.21</c:v>
                </c:pt>
                <c:pt idx="698">
                  <c:v>124.19</c:v>
                </c:pt>
                <c:pt idx="699">
                  <c:v>121.34</c:v>
                </c:pt>
                <c:pt idx="700">
                  <c:v>121.01</c:v>
                </c:pt>
                <c:pt idx="701">
                  <c:v>125.2</c:v>
                </c:pt>
                <c:pt idx="702">
                  <c:v>132.82</c:v>
                </c:pt>
                <c:pt idx="703">
                  <c:v>130.82</c:v>
                </c:pt>
                <c:pt idx="704">
                  <c:v>128.19999999999999</c:v>
                </c:pt>
                <c:pt idx="705">
                  <c:v>128.94999999999999</c:v>
                </c:pt>
                <c:pt idx="706">
                  <c:v>129.22</c:v>
                </c:pt>
                <c:pt idx="707">
                  <c:v>117.3</c:v>
                </c:pt>
                <c:pt idx="708">
                  <c:v>119.79</c:v>
                </c:pt>
                <c:pt idx="709">
                  <c:v>122.07</c:v>
                </c:pt>
                <c:pt idx="710">
                  <c:v>132.55000000000001</c:v>
                </c:pt>
                <c:pt idx="711">
                  <c:v>141.99</c:v>
                </c:pt>
                <c:pt idx="712">
                  <c:v>147.31</c:v>
                </c:pt>
                <c:pt idx="713">
                  <c:v>140.38999999999999</c:v>
                </c:pt>
                <c:pt idx="714">
                  <c:v>160.38</c:v>
                </c:pt>
                <c:pt idx="715">
                  <c:v>165.67</c:v>
                </c:pt>
                <c:pt idx="716">
                  <c:v>180.31</c:v>
                </c:pt>
                <c:pt idx="717">
                  <c:v>173.3</c:v>
                </c:pt>
                <c:pt idx="718">
                  <c:v>162.41</c:v>
                </c:pt>
                <c:pt idx="719">
                  <c:v>170.91</c:v>
                </c:pt>
                <c:pt idx="720">
                  <c:v>165.98</c:v>
                </c:pt>
                <c:pt idx="721">
                  <c:v>193.94</c:v>
                </c:pt>
                <c:pt idx="722">
                  <c:v>199.22</c:v>
                </c:pt>
                <c:pt idx="723">
                  <c:v>200.8</c:v>
                </c:pt>
                <c:pt idx="724">
                  <c:v>203.56</c:v>
                </c:pt>
                <c:pt idx="725">
                  <c:v>205.77</c:v>
                </c:pt>
                <c:pt idx="726">
                  <c:v>229.15</c:v>
                </c:pt>
                <c:pt idx="727">
                  <c:v>216.77</c:v>
                </c:pt>
                <c:pt idx="728">
                  <c:v>238.55</c:v>
                </c:pt>
                <c:pt idx="729">
                  <c:v>242.62</c:v>
                </c:pt>
                <c:pt idx="730">
                  <c:v>256.62</c:v>
                </c:pt>
                <c:pt idx="731">
                  <c:v>254.17</c:v>
                </c:pt>
                <c:pt idx="732">
                  <c:v>256.14</c:v>
                </c:pt>
                <c:pt idx="733">
                  <c:v>251.73</c:v>
                </c:pt>
                <c:pt idx="734">
                  <c:v>233.67</c:v>
                </c:pt>
                <c:pt idx="735">
                  <c:v>242.36</c:v>
                </c:pt>
                <c:pt idx="736">
                  <c:v>239.62</c:v>
                </c:pt>
                <c:pt idx="737">
                  <c:v>230.12</c:v>
                </c:pt>
                <c:pt idx="738">
                  <c:v>256.88</c:v>
                </c:pt>
                <c:pt idx="739">
                  <c:v>262</c:v>
                </c:pt>
                <c:pt idx="740">
                  <c:v>255.51</c:v>
                </c:pt>
                <c:pt idx="741">
                  <c:v>279.70999999999998</c:v>
                </c:pt>
                <c:pt idx="742">
                  <c:v>266.81</c:v>
                </c:pt>
                <c:pt idx="743">
                  <c:v>256.7</c:v>
                </c:pt>
                <c:pt idx="744">
                  <c:v>265.12</c:v>
                </c:pt>
                <c:pt idx="745">
                  <c:v>252.11</c:v>
                </c:pt>
                <c:pt idx="746">
                  <c:v>245.84</c:v>
                </c:pt>
                <c:pt idx="747">
                  <c:v>251.58</c:v>
                </c:pt>
                <c:pt idx="748">
                  <c:v>249.61</c:v>
                </c:pt>
                <c:pt idx="749">
                  <c:v>240.9</c:v>
                </c:pt>
                <c:pt idx="750">
                  <c:v>256.99</c:v>
                </c:pt>
                <c:pt idx="751">
                  <c:v>242.95</c:v>
                </c:pt>
                <c:pt idx="752">
                  <c:v>250.99</c:v>
                </c:pt>
                <c:pt idx="753">
                  <c:v>263.01</c:v>
                </c:pt>
                <c:pt idx="754">
                  <c:v>245.75</c:v>
                </c:pt>
                <c:pt idx="755">
                  <c:v>223.41</c:v>
                </c:pt>
                <c:pt idx="756">
                  <c:v>218.83</c:v>
                </c:pt>
                <c:pt idx="757">
                  <c:v>213.78</c:v>
                </c:pt>
                <c:pt idx="758">
                  <c:v>218.08</c:v>
                </c:pt>
                <c:pt idx="759">
                  <c:v>211.01</c:v>
                </c:pt>
                <c:pt idx="760">
                  <c:v>225.86</c:v>
                </c:pt>
                <c:pt idx="761">
                  <c:v>236.43</c:v>
                </c:pt>
                <c:pt idx="762">
                  <c:v>224.37</c:v>
                </c:pt>
                <c:pt idx="763">
                  <c:v>223.61</c:v>
                </c:pt>
                <c:pt idx="764">
                  <c:v>236.32</c:v>
                </c:pt>
                <c:pt idx="765">
                  <c:v>218.16</c:v>
                </c:pt>
                <c:pt idx="766">
                  <c:v>203.93</c:v>
                </c:pt>
                <c:pt idx="767">
                  <c:v>210.09</c:v>
                </c:pt>
                <c:pt idx="768">
                  <c:v>228.85</c:v>
                </c:pt>
                <c:pt idx="769">
                  <c:v>223.25</c:v>
                </c:pt>
                <c:pt idx="770">
                  <c:v>226.93</c:v>
                </c:pt>
                <c:pt idx="771">
                  <c:v>214.34</c:v>
                </c:pt>
                <c:pt idx="772">
                  <c:v>211.2</c:v>
                </c:pt>
                <c:pt idx="773">
                  <c:v>210.45</c:v>
                </c:pt>
                <c:pt idx="774">
                  <c:v>200.92</c:v>
                </c:pt>
                <c:pt idx="775">
                  <c:v>199.51</c:v>
                </c:pt>
                <c:pt idx="776">
                  <c:v>203.05</c:v>
                </c:pt>
                <c:pt idx="777">
                  <c:v>219.91</c:v>
                </c:pt>
                <c:pt idx="778">
                  <c:v>199.17</c:v>
                </c:pt>
                <c:pt idx="779">
                  <c:v>207.6</c:v>
                </c:pt>
                <c:pt idx="780">
                  <c:v>225.19</c:v>
                </c:pt>
                <c:pt idx="781">
                  <c:v>225.78</c:v>
                </c:pt>
                <c:pt idx="782">
                  <c:v>231.51</c:v>
                </c:pt>
                <c:pt idx="783">
                  <c:v>218.86</c:v>
                </c:pt>
                <c:pt idx="784">
                  <c:v>237.65</c:v>
                </c:pt>
                <c:pt idx="785">
                  <c:v>245</c:v>
                </c:pt>
                <c:pt idx="786">
                  <c:v>236.65</c:v>
                </c:pt>
                <c:pt idx="787">
                  <c:v>234.76</c:v>
                </c:pt>
                <c:pt idx="788">
                  <c:v>225.92</c:v>
                </c:pt>
                <c:pt idx="789">
                  <c:v>231.39</c:v>
                </c:pt>
                <c:pt idx="790">
                  <c:v>244.2</c:v>
                </c:pt>
                <c:pt idx="791">
                  <c:v>251.4</c:v>
                </c:pt>
                <c:pt idx="792">
                  <c:v>257.08</c:v>
                </c:pt>
                <c:pt idx="793">
                  <c:v>244.16</c:v>
                </c:pt>
                <c:pt idx="794">
                  <c:v>249.81</c:v>
                </c:pt>
                <c:pt idx="795">
                  <c:v>244.2</c:v>
                </c:pt>
                <c:pt idx="796">
                  <c:v>254.96</c:v>
                </c:pt>
                <c:pt idx="797">
                  <c:v>247.64</c:v>
                </c:pt>
                <c:pt idx="798">
                  <c:v>244.5</c:v>
                </c:pt>
                <c:pt idx="799">
                  <c:v>245.1</c:v>
                </c:pt>
                <c:pt idx="800">
                  <c:v>235.95</c:v>
                </c:pt>
                <c:pt idx="801">
                  <c:v>235.03</c:v>
                </c:pt>
                <c:pt idx="802">
                  <c:v>225.86</c:v>
                </c:pt>
                <c:pt idx="803">
                  <c:v>212.31</c:v>
                </c:pt>
                <c:pt idx="804">
                  <c:v>221.71</c:v>
                </c:pt>
                <c:pt idx="805">
                  <c:v>214.58</c:v>
                </c:pt>
                <c:pt idx="806">
                  <c:v>224</c:v>
                </c:pt>
                <c:pt idx="807">
                  <c:v>222.23</c:v>
                </c:pt>
                <c:pt idx="808">
                  <c:v>233.37</c:v>
                </c:pt>
                <c:pt idx="809">
                  <c:v>227.51</c:v>
                </c:pt>
                <c:pt idx="810">
                  <c:v>224.94</c:v>
                </c:pt>
                <c:pt idx="811">
                  <c:v>223.68</c:v>
                </c:pt>
                <c:pt idx="812">
                  <c:v>220.56</c:v>
                </c:pt>
                <c:pt idx="813">
                  <c:v>219.97</c:v>
                </c:pt>
                <c:pt idx="814">
                  <c:v>219.56</c:v>
                </c:pt>
                <c:pt idx="815">
                  <c:v>214.63</c:v>
                </c:pt>
                <c:pt idx="816">
                  <c:v>218.02</c:v>
                </c:pt>
                <c:pt idx="817">
                  <c:v>242.85</c:v>
                </c:pt>
                <c:pt idx="818">
                  <c:v>251.49</c:v>
                </c:pt>
                <c:pt idx="819">
                  <c:v>249.1</c:v>
                </c:pt>
                <c:pt idx="820">
                  <c:v>233.24</c:v>
                </c:pt>
                <c:pt idx="821">
                  <c:v>257.79000000000002</c:v>
                </c:pt>
                <c:pt idx="822">
                  <c:v>265.14999999999998</c:v>
                </c:pt>
                <c:pt idx="823">
                  <c:v>257.63</c:v>
                </c:pt>
                <c:pt idx="824">
                  <c:v>245.06</c:v>
                </c:pt>
                <c:pt idx="825">
                  <c:v>231.52</c:v>
                </c:pt>
                <c:pt idx="826">
                  <c:v>242.93</c:v>
                </c:pt>
                <c:pt idx="827">
                  <c:v>234.2</c:v>
                </c:pt>
                <c:pt idx="828">
                  <c:v>224.46</c:v>
                </c:pt>
                <c:pt idx="829">
                  <c:v>224.36</c:v>
                </c:pt>
                <c:pt idx="830">
                  <c:v>212.64</c:v>
                </c:pt>
                <c:pt idx="831">
                  <c:v>204.44</c:v>
                </c:pt>
                <c:pt idx="832">
                  <c:v>189.47</c:v>
                </c:pt>
                <c:pt idx="833">
                  <c:v>194.17</c:v>
                </c:pt>
                <c:pt idx="834">
                  <c:v>178.91</c:v>
                </c:pt>
                <c:pt idx="835">
                  <c:v>192.32</c:v>
                </c:pt>
                <c:pt idx="836">
                  <c:v>196.29</c:v>
                </c:pt>
                <c:pt idx="837">
                  <c:v>191.74</c:v>
                </c:pt>
                <c:pt idx="838">
                  <c:v>197.94</c:v>
                </c:pt>
                <c:pt idx="839">
                  <c:v>195.96</c:v>
                </c:pt>
                <c:pt idx="840">
                  <c:v>197.12</c:v>
                </c:pt>
                <c:pt idx="841">
                  <c:v>205.31</c:v>
                </c:pt>
                <c:pt idx="842">
                  <c:v>204.46</c:v>
                </c:pt>
                <c:pt idx="843">
                  <c:v>197.25</c:v>
                </c:pt>
                <c:pt idx="844">
                  <c:v>206.23</c:v>
                </c:pt>
                <c:pt idx="845">
                  <c:v>198.43</c:v>
                </c:pt>
                <c:pt idx="846">
                  <c:v>211.4</c:v>
                </c:pt>
                <c:pt idx="847">
                  <c:v>204</c:v>
                </c:pt>
                <c:pt idx="848">
                  <c:v>198.3</c:v>
                </c:pt>
                <c:pt idx="849">
                  <c:v>190.2</c:v>
                </c:pt>
                <c:pt idx="850">
                  <c:v>188.28</c:v>
                </c:pt>
                <c:pt idx="851">
                  <c:v>183.36</c:v>
                </c:pt>
                <c:pt idx="852">
                  <c:v>169.13</c:v>
                </c:pt>
                <c:pt idx="853">
                  <c:v>163.22</c:v>
                </c:pt>
                <c:pt idx="854">
                  <c:v>159.69999999999999</c:v>
                </c:pt>
                <c:pt idx="855">
                  <c:v>147.35</c:v>
                </c:pt>
                <c:pt idx="856">
                  <c:v>155.05000000000001</c:v>
                </c:pt>
                <c:pt idx="857">
                  <c:v>158.46</c:v>
                </c:pt>
                <c:pt idx="858">
                  <c:v>157.15</c:v>
                </c:pt>
                <c:pt idx="859">
                  <c:v>162.88999999999999</c:v>
                </c:pt>
                <c:pt idx="860">
                  <c:v>163.05000000000001</c:v>
                </c:pt>
                <c:pt idx="861">
                  <c:v>161.5</c:v>
                </c:pt>
                <c:pt idx="862">
                  <c:v>162.44999999999999</c:v>
                </c:pt>
                <c:pt idx="863">
                  <c:v>162.63999999999999</c:v>
                </c:pt>
                <c:pt idx="864">
                  <c:v>168.24</c:v>
                </c:pt>
                <c:pt idx="865">
                  <c:v>170.09</c:v>
                </c:pt>
                <c:pt idx="866">
                  <c:v>170.22</c:v>
                </c:pt>
                <c:pt idx="867">
                  <c:v>171.68</c:v>
                </c:pt>
                <c:pt idx="868">
                  <c:v>167.08</c:v>
                </c:pt>
                <c:pt idx="869">
                  <c:v>179.93</c:v>
                </c:pt>
                <c:pt idx="870">
                  <c:v>191.23</c:v>
                </c:pt>
                <c:pt idx="871">
                  <c:v>178.17</c:v>
                </c:pt>
                <c:pt idx="872">
                  <c:v>165.01</c:v>
                </c:pt>
                <c:pt idx="873">
                  <c:v>164.47</c:v>
                </c:pt>
                <c:pt idx="874">
                  <c:v>163.1</c:v>
                </c:pt>
                <c:pt idx="875">
                  <c:v>170.91</c:v>
                </c:pt>
                <c:pt idx="876">
                  <c:v>168.92</c:v>
                </c:pt>
                <c:pt idx="877">
                  <c:v>167.69</c:v>
                </c:pt>
                <c:pt idx="878">
                  <c:v>166.97</c:v>
                </c:pt>
                <c:pt idx="879">
                  <c:v>164.27</c:v>
                </c:pt>
                <c:pt idx="880">
                  <c:v>176.38</c:v>
                </c:pt>
                <c:pt idx="881">
                  <c:v>196.35</c:v>
                </c:pt>
                <c:pt idx="882">
                  <c:v>196.34</c:v>
                </c:pt>
                <c:pt idx="883">
                  <c:v>210.48</c:v>
                </c:pt>
                <c:pt idx="884">
                  <c:v>204.2</c:v>
                </c:pt>
                <c:pt idx="885">
                  <c:v>220.21</c:v>
                </c:pt>
                <c:pt idx="886">
                  <c:v>213.72</c:v>
                </c:pt>
                <c:pt idx="887">
                  <c:v>210.72</c:v>
                </c:pt>
                <c:pt idx="888">
                  <c:v>198.93</c:v>
                </c:pt>
                <c:pt idx="889">
                  <c:v>209.16</c:v>
                </c:pt>
                <c:pt idx="890">
                  <c:v>205.04</c:v>
                </c:pt>
                <c:pt idx="891">
                  <c:v>216.1</c:v>
                </c:pt>
                <c:pt idx="892">
                  <c:v>219.66</c:v>
                </c:pt>
                <c:pt idx="893">
                  <c:v>211.74</c:v>
                </c:pt>
                <c:pt idx="894">
                  <c:v>179.25</c:v>
                </c:pt>
                <c:pt idx="895">
                  <c:v>182.88</c:v>
                </c:pt>
                <c:pt idx="896">
                  <c:v>186.27</c:v>
                </c:pt>
                <c:pt idx="897">
                  <c:v>193.96</c:v>
                </c:pt>
                <c:pt idx="898">
                  <c:v>254.31</c:v>
                </c:pt>
                <c:pt idx="899">
                  <c:v>255.58</c:v>
                </c:pt>
                <c:pt idx="900">
                  <c:v>270.74</c:v>
                </c:pt>
                <c:pt idx="901">
                  <c:v>324.24</c:v>
                </c:pt>
                <c:pt idx="902">
                  <c:v>319.13</c:v>
                </c:pt>
                <c:pt idx="903">
                  <c:v>284.72000000000003</c:v>
                </c:pt>
                <c:pt idx="904">
                  <c:v>278.83999999999997</c:v>
                </c:pt>
                <c:pt idx="905">
                  <c:v>305.85000000000002</c:v>
                </c:pt>
                <c:pt idx="906">
                  <c:v>325.41000000000003</c:v>
                </c:pt>
                <c:pt idx="907">
                  <c:v>324.57</c:v>
                </c:pt>
                <c:pt idx="908">
                  <c:v>320.01</c:v>
                </c:pt>
                <c:pt idx="909">
                  <c:v>295.23</c:v>
                </c:pt>
                <c:pt idx="910">
                  <c:v>304.64</c:v>
                </c:pt>
                <c:pt idx="911">
                  <c:v>312.22000000000003</c:v>
                </c:pt>
                <c:pt idx="912">
                  <c:v>293.29000000000002</c:v>
                </c:pt>
                <c:pt idx="913">
                  <c:v>310.98</c:v>
                </c:pt>
                <c:pt idx="914">
                  <c:v>296.2</c:v>
                </c:pt>
                <c:pt idx="915">
                  <c:v>302.39999999999998</c:v>
                </c:pt>
                <c:pt idx="916">
                  <c:v>309.35000000000002</c:v>
                </c:pt>
                <c:pt idx="917">
                  <c:v>330.94</c:v>
                </c:pt>
                <c:pt idx="918">
                  <c:v>320.57</c:v>
                </c:pt>
                <c:pt idx="919">
                  <c:v>343.62</c:v>
                </c:pt>
                <c:pt idx="920">
                  <c:v>310.52</c:v>
                </c:pt>
                <c:pt idx="921">
                  <c:v>302.42</c:v>
                </c:pt>
                <c:pt idx="922">
                  <c:v>313.81</c:v>
                </c:pt>
                <c:pt idx="923">
                  <c:v>312.95999999999998</c:v>
                </c:pt>
                <c:pt idx="924">
                  <c:v>310.58</c:v>
                </c:pt>
                <c:pt idx="925">
                  <c:v>315.31</c:v>
                </c:pt>
                <c:pt idx="926">
                  <c:v>311.64</c:v>
                </c:pt>
                <c:pt idx="927">
                  <c:v>279.86</c:v>
                </c:pt>
                <c:pt idx="928">
                  <c:v>273.92</c:v>
                </c:pt>
                <c:pt idx="929">
                  <c:v>278.70999999999998</c:v>
                </c:pt>
                <c:pt idx="930">
                  <c:v>268.14999999999998</c:v>
                </c:pt>
                <c:pt idx="931">
                  <c:v>279.62</c:v>
                </c:pt>
                <c:pt idx="932">
                  <c:v>274.41000000000003</c:v>
                </c:pt>
                <c:pt idx="933">
                  <c:v>265.70999999999998</c:v>
                </c:pt>
                <c:pt idx="934">
                  <c:v>255.56</c:v>
                </c:pt>
                <c:pt idx="935">
                  <c:v>248.3</c:v>
                </c:pt>
                <c:pt idx="936">
                  <c:v>257.20999999999998</c:v>
                </c:pt>
                <c:pt idx="937">
                  <c:v>270.64999999999998</c:v>
                </c:pt>
                <c:pt idx="938">
                  <c:v>287.76</c:v>
                </c:pt>
                <c:pt idx="939">
                  <c:v>264.33</c:v>
                </c:pt>
                <c:pt idx="940">
                  <c:v>260.01</c:v>
                </c:pt>
                <c:pt idx="941">
                  <c:v>258.77999999999997</c:v>
                </c:pt>
                <c:pt idx="942">
                  <c:v>251.2</c:v>
                </c:pt>
                <c:pt idx="943">
                  <c:v>255.37</c:v>
                </c:pt>
                <c:pt idx="944">
                  <c:v>274.93</c:v>
                </c:pt>
                <c:pt idx="945">
                  <c:v>281.63</c:v>
                </c:pt>
                <c:pt idx="946">
                  <c:v>295.48</c:v>
                </c:pt>
                <c:pt idx="947">
                  <c:v>294.19</c:v>
                </c:pt>
                <c:pt idx="948">
                  <c:v>295.85000000000002</c:v>
                </c:pt>
                <c:pt idx="949">
                  <c:v>296.01</c:v>
                </c:pt>
                <c:pt idx="950">
                  <c:v>298</c:v>
                </c:pt>
                <c:pt idx="951">
                  <c:v>277.99</c:v>
                </c:pt>
                <c:pt idx="952">
                  <c:v>281.82</c:v>
                </c:pt>
                <c:pt idx="953">
                  <c:v>291</c:v>
                </c:pt>
                <c:pt idx="954">
                  <c:v>301.3</c:v>
                </c:pt>
                <c:pt idx="955">
                  <c:v>291.33</c:v>
                </c:pt>
                <c:pt idx="956">
                  <c:v>284.41000000000003</c:v>
                </c:pt>
                <c:pt idx="957">
                  <c:v>280.39</c:v>
                </c:pt>
                <c:pt idx="958">
                  <c:v>275.14</c:v>
                </c:pt>
                <c:pt idx="959">
                  <c:v>270.37</c:v>
                </c:pt>
                <c:pt idx="960">
                  <c:v>274.49</c:v>
                </c:pt>
                <c:pt idx="961">
                  <c:v>280.22000000000003</c:v>
                </c:pt>
                <c:pt idx="962">
                  <c:v>266.89999999999998</c:v>
                </c:pt>
                <c:pt idx="963">
                  <c:v>274.89999999999998</c:v>
                </c:pt>
                <c:pt idx="964">
                  <c:v>298.11</c:v>
                </c:pt>
                <c:pt idx="965">
                  <c:v>274.31</c:v>
                </c:pt>
                <c:pt idx="966">
                  <c:v>264.63</c:v>
                </c:pt>
                <c:pt idx="967">
                  <c:v>258.67</c:v>
                </c:pt>
                <c:pt idx="968">
                  <c:v>256.58999999999997</c:v>
                </c:pt>
                <c:pt idx="969">
                  <c:v>235.38</c:v>
                </c:pt>
                <c:pt idx="970">
                  <c:v>227.07</c:v>
                </c:pt>
                <c:pt idx="971">
                  <c:v>212.49</c:v>
                </c:pt>
                <c:pt idx="972">
                  <c:v>212.96</c:v>
                </c:pt>
                <c:pt idx="973">
                  <c:v>208.37</c:v>
                </c:pt>
                <c:pt idx="974">
                  <c:v>215.62</c:v>
                </c:pt>
                <c:pt idx="975">
                  <c:v>205.75</c:v>
                </c:pt>
                <c:pt idx="976">
                  <c:v>212.55</c:v>
                </c:pt>
                <c:pt idx="977">
                  <c:v>222.45</c:v>
                </c:pt>
                <c:pt idx="978">
                  <c:v>214.17</c:v>
                </c:pt>
                <c:pt idx="979">
                  <c:v>217.45</c:v>
                </c:pt>
                <c:pt idx="980">
                  <c:v>179.23</c:v>
                </c:pt>
                <c:pt idx="981">
                  <c:v>191.69</c:v>
                </c:pt>
                <c:pt idx="982">
                  <c:v>191.73</c:v>
                </c:pt>
                <c:pt idx="983">
                  <c:v>177.49</c:v>
                </c:pt>
                <c:pt idx="984">
                  <c:v>183.12</c:v>
                </c:pt>
                <c:pt idx="985">
                  <c:v>188.96</c:v>
                </c:pt>
                <c:pt idx="986">
                  <c:v>181.14</c:v>
                </c:pt>
                <c:pt idx="987">
                  <c:v>189.75</c:v>
                </c:pt>
                <c:pt idx="988">
                  <c:v>190.38</c:v>
                </c:pt>
                <c:pt idx="989">
                  <c:v>189.86</c:v>
                </c:pt>
                <c:pt idx="990">
                  <c:v>203.04</c:v>
                </c:pt>
                <c:pt idx="991">
                  <c:v>204.23</c:v>
                </c:pt>
                <c:pt idx="992">
                  <c:v>193.95</c:v>
                </c:pt>
                <c:pt idx="993">
                  <c:v>188.58</c:v>
                </c:pt>
                <c:pt idx="994">
                  <c:v>173.93</c:v>
                </c:pt>
                <c:pt idx="995">
                  <c:v>172.23</c:v>
                </c:pt>
                <c:pt idx="996">
                  <c:v>174.52</c:v>
                </c:pt>
                <c:pt idx="997">
                  <c:v>182.95</c:v>
                </c:pt>
                <c:pt idx="998">
                  <c:v>170.76</c:v>
                </c:pt>
                <c:pt idx="999">
                  <c:v>160.55000000000001</c:v>
                </c:pt>
                <c:pt idx="1000">
                  <c:v>157.28</c:v>
                </c:pt>
                <c:pt idx="1001">
                  <c:v>151.47</c:v>
                </c:pt>
                <c:pt idx="1002">
                  <c:v>177.09</c:v>
                </c:pt>
                <c:pt idx="1003">
                  <c:v>169.62</c:v>
                </c:pt>
                <c:pt idx="1004">
                  <c:v>175.5</c:v>
                </c:pt>
                <c:pt idx="1005">
                  <c:v>176.58</c:v>
                </c:pt>
                <c:pt idx="1006">
                  <c:v>175.57</c:v>
                </c:pt>
                <c:pt idx="1007">
                  <c:v>172.21</c:v>
                </c:pt>
                <c:pt idx="1008">
                  <c:v>175.03</c:v>
                </c:pt>
                <c:pt idx="1009">
                  <c:v>175</c:v>
                </c:pt>
                <c:pt idx="1010">
                  <c:v>190</c:v>
                </c:pt>
                <c:pt idx="1011">
                  <c:v>194.8</c:v>
                </c:pt>
                <c:pt idx="1012">
                  <c:v>203.87</c:v>
                </c:pt>
                <c:pt idx="1013">
                  <c:v>209.64</c:v>
                </c:pt>
                <c:pt idx="1014">
                  <c:v>205.27</c:v>
                </c:pt>
                <c:pt idx="1015">
                  <c:v>206.13</c:v>
                </c:pt>
                <c:pt idx="1016">
                  <c:v>202.89</c:v>
                </c:pt>
                <c:pt idx="1017">
                  <c:v>201.3</c:v>
                </c:pt>
                <c:pt idx="1018">
                  <c:v>204.93</c:v>
                </c:pt>
                <c:pt idx="1019">
                  <c:v>199.4</c:v>
                </c:pt>
                <c:pt idx="1020">
                  <c:v>196.89</c:v>
                </c:pt>
                <c:pt idx="1021">
                  <c:v>196.56</c:v>
                </c:pt>
                <c:pt idx="1022">
                  <c:v>206.5</c:v>
                </c:pt>
                <c:pt idx="1023">
                  <c:v>199.32</c:v>
                </c:pt>
                <c:pt idx="1024">
                  <c:v>207.22</c:v>
                </c:pt>
                <c:pt idx="1025">
                  <c:v>256.89999999999998</c:v>
                </c:pt>
                <c:pt idx="1026">
                  <c:v>263.41000000000003</c:v>
                </c:pt>
                <c:pt idx="1027">
                  <c:v>244.44</c:v>
                </c:pt>
                <c:pt idx="1028">
                  <c:v>266.45999999999998</c:v>
                </c:pt>
                <c:pt idx="1029">
                  <c:v>263.99</c:v>
                </c:pt>
                <c:pt idx="1030">
                  <c:v>261.38</c:v>
                </c:pt>
                <c:pt idx="1031">
                  <c:v>258.99</c:v>
                </c:pt>
                <c:pt idx="1032">
                  <c:v>271.95</c:v>
                </c:pt>
                <c:pt idx="1033">
                  <c:v>263.16000000000003</c:v>
                </c:pt>
                <c:pt idx="1034">
                  <c:v>266.39999999999998</c:v>
                </c:pt>
                <c:pt idx="1035">
                  <c:v>254.29</c:v>
                </c:pt>
                <c:pt idx="1036">
                  <c:v>248.84</c:v>
                </c:pt>
                <c:pt idx="1037">
                  <c:v>246.62</c:v>
                </c:pt>
                <c:pt idx="1038">
                  <c:v>246.72</c:v>
                </c:pt>
                <c:pt idx="1039">
                  <c:v>258.91000000000003</c:v>
                </c:pt>
                <c:pt idx="1040">
                  <c:v>256</c:v>
                </c:pt>
                <c:pt idx="1041">
                  <c:v>244.2</c:v>
                </c:pt>
                <c:pt idx="1042">
                  <c:v>251.27</c:v>
                </c:pt>
                <c:pt idx="1043">
                  <c:v>256.63</c:v>
                </c:pt>
                <c:pt idx="1044">
                  <c:v>254.94</c:v>
                </c:pt>
                <c:pt idx="1045">
                  <c:v>250.68</c:v>
                </c:pt>
                <c:pt idx="1046">
                  <c:v>241.05</c:v>
                </c:pt>
                <c:pt idx="1047">
                  <c:v>242.71</c:v>
                </c:pt>
                <c:pt idx="1048">
                  <c:v>261.57</c:v>
                </c:pt>
                <c:pt idx="1049">
                  <c:v>253.85</c:v>
                </c:pt>
                <c:pt idx="1050">
                  <c:v>295.29000000000002</c:v>
                </c:pt>
                <c:pt idx="1051">
                  <c:v>308.38</c:v>
                </c:pt>
                <c:pt idx="1052">
                  <c:v>307.58999999999997</c:v>
                </c:pt>
                <c:pt idx="1053">
                  <c:v>344.82</c:v>
                </c:pt>
                <c:pt idx="1054">
                  <c:v>355.37</c:v>
                </c:pt>
                <c:pt idx="1055">
                  <c:v>375.07</c:v>
                </c:pt>
                <c:pt idx="1056">
                  <c:v>353.43</c:v>
                </c:pt>
                <c:pt idx="1057">
                  <c:v>350.49</c:v>
                </c:pt>
                <c:pt idx="1058">
                  <c:v>335.33</c:v>
                </c:pt>
                <c:pt idx="1059">
                  <c:v>354.45</c:v>
                </c:pt>
                <c:pt idx="1060">
                  <c:v>355.8</c:v>
                </c:pt>
                <c:pt idx="1061">
                  <c:v>357.1</c:v>
                </c:pt>
                <c:pt idx="1062">
                  <c:v>354.82</c:v>
                </c:pt>
                <c:pt idx="1063">
                  <c:v>373.85</c:v>
                </c:pt>
                <c:pt idx="1064">
                  <c:v>388.96</c:v>
                </c:pt>
                <c:pt idx="1065">
                  <c:v>387.06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CD-411A-880A-8E666C228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516895"/>
        <c:axId val="1309517855"/>
      </c:lineChart>
      <c:dateAx>
        <c:axId val="1309516895"/>
        <c:scaling>
          <c:orientation val="minMax"/>
        </c:scaling>
        <c:delete val="0"/>
        <c:axPos val="b"/>
        <c:numFmt formatCode="[$-409]m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17855"/>
        <c:crosses val="autoZero"/>
        <c:auto val="1"/>
        <c:lblOffset val="100"/>
        <c:baseTimeUnit val="days"/>
      </c:dateAx>
      <c:valAx>
        <c:axId val="1309517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1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Compliance交易所!$B$1</c:f>
              <c:strCache>
                <c:ptCount val="1"/>
                <c:pt idx="0">
                  <c:v>合规交易所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Compliance交易所!$A$2:$A$14</c:f>
              <c:strCache>
                <c:ptCount val="13"/>
                <c:pt idx="0">
                  <c:v>22Q3</c:v>
                </c:pt>
                <c:pt idx="1">
                  <c:v>22Q4</c:v>
                </c:pt>
                <c:pt idx="2">
                  <c:v>23Q1</c:v>
                </c:pt>
                <c:pt idx="3">
                  <c:v>23Q2</c:v>
                </c:pt>
                <c:pt idx="4">
                  <c:v>23Q3</c:v>
                </c:pt>
                <c:pt idx="5">
                  <c:v>23Q4</c:v>
                </c:pt>
                <c:pt idx="6">
                  <c:v>24Q1</c:v>
                </c:pt>
                <c:pt idx="7">
                  <c:v>24Q2</c:v>
                </c:pt>
                <c:pt idx="8">
                  <c:v>24Q3</c:v>
                </c:pt>
                <c:pt idx="9">
                  <c:v>24Q4</c:v>
                </c:pt>
                <c:pt idx="10">
                  <c:v>25Q1</c:v>
                </c:pt>
                <c:pt idx="11">
                  <c:v>25Q2</c:v>
                </c:pt>
                <c:pt idx="12">
                  <c:v>25Q3</c:v>
                </c:pt>
              </c:strCache>
            </c:strRef>
          </c:cat>
          <c:val>
            <c:numRef>
              <c:f>Compliance交易所!$B$2:$B$14</c:f>
              <c:numCache>
                <c:formatCode>General</c:formatCode>
                <c:ptCount val="13"/>
                <c:pt idx="0">
                  <c:v>258.01</c:v>
                </c:pt>
                <c:pt idx="1">
                  <c:v>241.43</c:v>
                </c:pt>
                <c:pt idx="2">
                  <c:v>268.61</c:v>
                </c:pt>
                <c:pt idx="3">
                  <c:v>166.33</c:v>
                </c:pt>
                <c:pt idx="4">
                  <c:v>124.35</c:v>
                </c:pt>
                <c:pt idx="5">
                  <c:v>285.27</c:v>
                </c:pt>
                <c:pt idx="6">
                  <c:v>532.87</c:v>
                </c:pt>
                <c:pt idx="7">
                  <c:v>408.96</c:v>
                </c:pt>
                <c:pt idx="8">
                  <c:v>545.42999999999995</c:v>
                </c:pt>
                <c:pt idx="9">
                  <c:v>1335.69</c:v>
                </c:pt>
                <c:pt idx="10">
                  <c:v>1077.07</c:v>
                </c:pt>
                <c:pt idx="11">
                  <c:v>549.99</c:v>
                </c:pt>
                <c:pt idx="12">
                  <c:v>59.91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4-435C-A798-4DDC0F2C4CE0}"/>
            </c:ext>
          </c:extLst>
        </c:ser>
        <c:ser>
          <c:idx val="1"/>
          <c:order val="1"/>
          <c:tx>
            <c:strRef>
              <c:f>Compliance交易所!$C$1</c:f>
              <c:strCache>
                <c:ptCount val="1"/>
                <c:pt idx="0">
                  <c:v>非合规交易所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Compliance交易所!$A$2:$A$14</c:f>
              <c:strCache>
                <c:ptCount val="13"/>
                <c:pt idx="0">
                  <c:v>22Q3</c:v>
                </c:pt>
                <c:pt idx="1">
                  <c:v>22Q4</c:v>
                </c:pt>
                <c:pt idx="2">
                  <c:v>23Q1</c:v>
                </c:pt>
                <c:pt idx="3">
                  <c:v>23Q2</c:v>
                </c:pt>
                <c:pt idx="4">
                  <c:v>23Q3</c:v>
                </c:pt>
                <c:pt idx="5">
                  <c:v>23Q4</c:v>
                </c:pt>
                <c:pt idx="6">
                  <c:v>24Q1</c:v>
                </c:pt>
                <c:pt idx="7">
                  <c:v>24Q2</c:v>
                </c:pt>
                <c:pt idx="8">
                  <c:v>24Q3</c:v>
                </c:pt>
                <c:pt idx="9">
                  <c:v>24Q4</c:v>
                </c:pt>
                <c:pt idx="10">
                  <c:v>25Q1</c:v>
                </c:pt>
                <c:pt idx="11">
                  <c:v>25Q2</c:v>
                </c:pt>
                <c:pt idx="12">
                  <c:v>25Q3</c:v>
                </c:pt>
              </c:strCache>
            </c:strRef>
          </c:cat>
          <c:val>
            <c:numRef>
              <c:f>Compliance交易所!$C$2:$C$14</c:f>
              <c:numCache>
                <c:formatCode>General</c:formatCode>
                <c:ptCount val="13"/>
                <c:pt idx="0">
                  <c:v>1493.78</c:v>
                </c:pt>
                <c:pt idx="1">
                  <c:v>1296.53</c:v>
                </c:pt>
                <c:pt idx="2">
                  <c:v>1666.73</c:v>
                </c:pt>
                <c:pt idx="3">
                  <c:v>848.9</c:v>
                </c:pt>
                <c:pt idx="4">
                  <c:v>621.80999999999995</c:v>
                </c:pt>
                <c:pt idx="5">
                  <c:v>1269.48</c:v>
                </c:pt>
                <c:pt idx="6">
                  <c:v>2925.88</c:v>
                </c:pt>
                <c:pt idx="7">
                  <c:v>2476.4899999999998</c:v>
                </c:pt>
                <c:pt idx="8">
                  <c:v>1912.99</c:v>
                </c:pt>
                <c:pt idx="9">
                  <c:v>3612.37</c:v>
                </c:pt>
                <c:pt idx="10">
                  <c:v>3019.97</c:v>
                </c:pt>
                <c:pt idx="11">
                  <c:v>2193.4499999999998</c:v>
                </c:pt>
                <c:pt idx="12">
                  <c:v>234.94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54-435C-A798-4DDC0F2C4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2295023"/>
        <c:axId val="842291663"/>
      </c:barChart>
      <c:catAx>
        <c:axId val="8422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291663"/>
        <c:crosses val="autoZero"/>
        <c:auto val="1"/>
        <c:lblAlgn val="ctr"/>
        <c:lblOffset val="100"/>
        <c:noMultiLvlLbl val="0"/>
      </c:catAx>
      <c:valAx>
        <c:axId val="84229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2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622300</xdr:colOff>
      <xdr:row>10</xdr:row>
      <xdr:rowOff>19050</xdr:rowOff>
    </xdr:from>
    <xdr:to>
      <xdr:col>13</xdr:col>
      <xdr:colOff>228600</xdr:colOff>
      <xdr:row>20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6C662-8A52-1F79-5689-58F027499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577380</xdr:colOff>
      <xdr:row>17</xdr:row>
      <xdr:rowOff>92428</xdr:rowOff>
    </xdr:from>
    <xdr:to>
      <xdr:col>19</xdr:col>
      <xdr:colOff>210491</xdr:colOff>
      <xdr:row>27</xdr:row>
      <xdr:rowOff>248591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FB28A8-1ED8-75C6-2AFC-7DA00F799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309562</xdr:colOff>
      <xdr:row>4</xdr:row>
      <xdr:rowOff>57150</xdr:rowOff>
    </xdr:from>
    <xdr:to>
      <xdr:col>11</xdr:col>
      <xdr:colOff>80962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41280-D060-1714-BD31-86F186EAD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302532</xdr:colOff>
      <xdr:row>25</xdr:row>
      <xdr:rowOff>40820</xdr:rowOff>
    </xdr:from>
    <xdr:to>
      <xdr:col>20</xdr:col>
      <xdr:colOff>163285</xdr:colOff>
      <xdr:row>39</xdr:row>
      <xdr:rowOff>180147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0140F-4B40-4348-975B-47E64722F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389031</xdr:colOff>
      <xdr:row>17</xdr:row>
      <xdr:rowOff>108884</xdr:rowOff>
    </xdr:from>
    <xdr:to>
      <xdr:col>13</xdr:col>
      <xdr:colOff>533587</xdr:colOff>
      <xdr:row>34</xdr:row>
      <xdr:rowOff>124947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CE454B-FA22-4FD7-B8CB-8814D81C2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467948</xdr:colOff>
      <xdr:row>45</xdr:row>
      <xdr:rowOff>133519</xdr:rowOff>
    </xdr:from>
    <xdr:to>
      <xdr:col>18</xdr:col>
      <xdr:colOff>3344</xdr:colOff>
      <xdr:row>66</xdr:row>
      <xdr:rowOff>133519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19AC85-5EFC-4798-ADA3-E236010FE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1327896</xdr:colOff>
      <xdr:row>44</xdr:row>
      <xdr:rowOff>85164</xdr:rowOff>
    </xdr:from>
    <xdr:to>
      <xdr:col>8</xdr:col>
      <xdr:colOff>840441</xdr:colOff>
      <xdr:row>65</xdr:row>
      <xdr:rowOff>89646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EC2113-1D55-4D5E-80A3-B2F8F941C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49644</xdr:colOff>
      <xdr:row>34</xdr:row>
      <xdr:rowOff>152400</xdr:rowOff>
    </xdr:from>
    <xdr:to>
      <xdr:col>25</xdr:col>
      <xdr:colOff>190499</xdr:colOff>
      <xdr:row>54</xdr:row>
      <xdr:rowOff>155864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336C8E-28C7-B6A8-FDAA-0BB412E51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1000124</xdr:colOff>
      <xdr:row>19</xdr:row>
      <xdr:rowOff>80735</xdr:rowOff>
    </xdr:from>
    <xdr:to>
      <xdr:col>6</xdr:col>
      <xdr:colOff>578303</xdr:colOff>
      <xdr:row>33</xdr:row>
      <xdr:rowOff>156935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9A94240-AED2-CA9F-D729-964E7454E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11</xdr:row>
      <xdr:rowOff>76200</xdr:rowOff>
    </xdr:from>
    <xdr:to>
      <xdr:col>14</xdr:col>
      <xdr:colOff>628650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BC9F99-5A91-FFE8-70AE-5632E2CAE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300412</xdr:colOff>
      <xdr:row>11</xdr:row>
      <xdr:rowOff>186017</xdr:rowOff>
    </xdr:from>
    <xdr:to>
      <xdr:col>11</xdr:col>
      <xdr:colOff>695887</xdr:colOff>
      <xdr:row>33</xdr:row>
      <xdr:rowOff>119342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BFCE0-70F3-6211-87FD-4BAF157F8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276971</xdr:colOff>
      <xdr:row>32</xdr:row>
      <xdr:rowOff>123266</xdr:rowOff>
    </xdr:from>
    <xdr:to>
      <xdr:col>11</xdr:col>
      <xdr:colOff>558239</xdr:colOff>
      <xdr:row>48</xdr:row>
      <xdr:rowOff>91329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D6B074-5367-1C8F-DE20-2FD6D94BE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689909</xdr:colOff>
      <xdr:row>31</xdr:row>
      <xdr:rowOff>61071</xdr:rowOff>
    </xdr:from>
    <xdr:to>
      <xdr:col>20</xdr:col>
      <xdr:colOff>502396</xdr:colOff>
      <xdr:row>51</xdr:row>
      <xdr:rowOff>67421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F84EC1-D2DF-8C67-75C8-D41B86469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248956</xdr:colOff>
      <xdr:row>49</xdr:row>
      <xdr:rowOff>43516</xdr:rowOff>
    </xdr:from>
    <xdr:to>
      <xdr:col>7</xdr:col>
      <xdr:colOff>1199029</xdr:colOff>
      <xdr:row>70</xdr:row>
      <xdr:rowOff>41648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39DF93-2E13-34A3-F6C8-47187F2C5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812425</xdr:colOff>
      <xdr:row>20</xdr:row>
      <xdr:rowOff>121958</xdr:rowOff>
    </xdr:from>
    <xdr:to>
      <xdr:col>3</xdr:col>
      <xdr:colOff>1294278</xdr:colOff>
      <xdr:row>35</xdr:row>
      <xdr:rowOff>7658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D1C741-355E-A0BE-FD5E-C3AEEF343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10</xdr:row>
      <xdr:rowOff>76200</xdr:rowOff>
    </xdr:from>
    <xdr:to>
      <xdr:col>12</xdr:col>
      <xdr:colOff>142875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F2F394-FD87-3DF4-EE3C-26EF2A928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509587</xdr:colOff>
      <xdr:row>10</xdr:row>
      <xdr:rowOff>171450</xdr:rowOff>
    </xdr:from>
    <xdr:to>
      <xdr:col>16</xdr:col>
      <xdr:colOff>481012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F7B53-A4FE-B21C-ACED-390E10051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268941</xdr:colOff>
      <xdr:row>10</xdr:row>
      <xdr:rowOff>186018</xdr:rowOff>
    </xdr:from>
    <xdr:to>
      <xdr:col>19</xdr:col>
      <xdr:colOff>212912</xdr:colOff>
      <xdr:row>20</xdr:row>
      <xdr:rowOff>105335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8EDCDF-87FE-A5A4-A4D4-E80AE0452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E1AC6-383F-724E-80EB-84D9E91E2B1E}" name="Table1" displayName="Table1" ref="J25:K35" totalsRowShown="0">
  <tableColumns count="2">
    <tableColumn id="1" xr3:uid="{431661E4-BF7D-3E48-95BD-2B76FCF003D6}" name=" " dataDxfId="1"/>
    <tableColumn id="2" xr3:uid="{38BF1BC3-9577-BF40-B6D4-BC12A2D4AEF0}" name="CEX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E956-C00F-FB45-8C57-54D50526918E}">
  <dimension ref="A1:U45"/>
  <sheetViews>
    <sheetView zoomScaleNormal="100" workbookViewId="0">
      <selection activeCell="Q10" sqref="Q10"/>
    </sheetView>
  </sheetViews>
  <sheetFormatPr defaultColWidth="11" defaultRowHeight="15"/>
  <cols>
    <col min="1" max="1" width="11.33203125" bestFit="1" customWidth="1"/>
  </cols>
  <sheetData>
    <row r="1" spans="1:21" ht="17.5">
      <c r="A1" t="s">
        <v>0</v>
      </c>
      <c r="C1" s="2" t="s">
        <v>1</v>
      </c>
      <c r="E1" s="2" t="s">
        <v>2</v>
      </c>
      <c r="G1" s="2" t="s">
        <v>3</v>
      </c>
      <c r="I1" s="2" t="s">
        <v>4</v>
      </c>
      <c r="K1" s="2" t="s">
        <v>5</v>
      </c>
      <c r="M1" s="2" t="s">
        <v>6</v>
      </c>
    </row>
    <row r="2" spans="1:21" ht="18">
      <c r="A2" s="1" t="s">
        <v>7</v>
      </c>
      <c r="B2" s="2" t="s">
        <v>1</v>
      </c>
      <c r="C2" s="2">
        <v>48.6</v>
      </c>
      <c r="D2" s="2" t="s">
        <v>2</v>
      </c>
      <c r="E2" s="2">
        <v>24.6</v>
      </c>
      <c r="F2" s="2" t="s">
        <v>3</v>
      </c>
      <c r="G2" s="2">
        <v>13.4</v>
      </c>
      <c r="H2" s="2" t="s">
        <v>4</v>
      </c>
      <c r="I2" s="2">
        <v>12.4</v>
      </c>
      <c r="J2" s="2" t="s">
        <v>5</v>
      </c>
      <c r="K2" s="2">
        <v>1</v>
      </c>
      <c r="L2" s="2" t="s">
        <v>6</v>
      </c>
      <c r="M2" s="2">
        <v>0.04</v>
      </c>
    </row>
    <row r="3" spans="1:21" ht="18">
      <c r="A3" s="1" t="s">
        <v>8</v>
      </c>
      <c r="B3" s="2" t="s">
        <v>1</v>
      </c>
      <c r="C3" s="2">
        <v>47.8</v>
      </c>
      <c r="D3" s="2" t="s">
        <v>2</v>
      </c>
      <c r="E3" s="2">
        <v>22.7</v>
      </c>
      <c r="F3" s="2" t="s">
        <v>3</v>
      </c>
      <c r="G3" s="2">
        <v>16.3</v>
      </c>
      <c r="H3" s="2" t="s">
        <v>4</v>
      </c>
      <c r="I3" s="2">
        <v>14.8</v>
      </c>
      <c r="J3" s="2" t="s">
        <v>5</v>
      </c>
      <c r="K3" s="2">
        <v>1.1000000000000001</v>
      </c>
      <c r="L3" s="2" t="s">
        <v>6</v>
      </c>
      <c r="M3" s="2">
        <v>0.04</v>
      </c>
    </row>
    <row r="4" spans="1:21" ht="18">
      <c r="A4" s="1" t="s">
        <v>9</v>
      </c>
      <c r="B4" s="2" t="s">
        <v>1</v>
      </c>
      <c r="C4" s="2">
        <v>45</v>
      </c>
      <c r="D4" s="2" t="s">
        <v>2</v>
      </c>
      <c r="E4" s="2">
        <v>20.100000000000001</v>
      </c>
      <c r="F4" s="2" t="s">
        <v>3</v>
      </c>
      <c r="G4" s="2">
        <v>16.7</v>
      </c>
      <c r="H4" s="2" t="s">
        <v>4</v>
      </c>
      <c r="I4" s="2">
        <v>16.2</v>
      </c>
      <c r="J4" s="2" t="s">
        <v>5</v>
      </c>
      <c r="K4" s="2">
        <v>3.5</v>
      </c>
      <c r="L4" s="2" t="s">
        <v>6</v>
      </c>
      <c r="M4" s="2">
        <v>0.04</v>
      </c>
    </row>
    <row r="5" spans="1:21" ht="18">
      <c r="A5" s="1" t="s">
        <v>10</v>
      </c>
      <c r="B5" s="2" t="s">
        <v>1</v>
      </c>
      <c r="C5" s="2">
        <v>44</v>
      </c>
      <c r="D5" s="2" t="s">
        <v>2</v>
      </c>
      <c r="E5" s="2">
        <v>19.3</v>
      </c>
      <c r="F5" s="2" t="s">
        <v>3</v>
      </c>
      <c r="G5" s="2">
        <v>16.7</v>
      </c>
      <c r="H5" s="2" t="s">
        <v>4</v>
      </c>
      <c r="I5" s="2">
        <v>15.1</v>
      </c>
      <c r="J5" s="2" t="s">
        <v>5</v>
      </c>
      <c r="K5" s="2">
        <v>3.6</v>
      </c>
      <c r="L5" s="2" t="s">
        <v>6</v>
      </c>
      <c r="M5" s="2">
        <v>0.05</v>
      </c>
    </row>
    <row r="6" spans="1:21" ht="18">
      <c r="A6" s="1" t="s">
        <v>11</v>
      </c>
      <c r="B6" s="2" t="s">
        <v>1</v>
      </c>
      <c r="C6" s="2">
        <v>43.3</v>
      </c>
      <c r="D6" s="2" t="s">
        <v>2</v>
      </c>
      <c r="E6" s="2">
        <v>19</v>
      </c>
      <c r="F6" s="2" t="s">
        <v>3</v>
      </c>
      <c r="G6" s="2">
        <v>17.100000000000001</v>
      </c>
      <c r="H6" s="2" t="s">
        <v>4</v>
      </c>
      <c r="I6" s="2">
        <v>16.7</v>
      </c>
      <c r="J6" s="2" t="s">
        <v>5</v>
      </c>
      <c r="K6" s="2">
        <v>2.6</v>
      </c>
      <c r="L6" s="2" t="s">
        <v>6</v>
      </c>
      <c r="M6" s="2">
        <v>2E-3</v>
      </c>
    </row>
    <row r="7" spans="1:21" ht="18">
      <c r="A7" s="1" t="s">
        <v>12</v>
      </c>
      <c r="B7" s="2" t="s">
        <v>1</v>
      </c>
      <c r="C7" s="2">
        <v>41.9</v>
      </c>
      <c r="D7" s="2" t="s">
        <v>2</v>
      </c>
      <c r="E7" s="2">
        <v>19.600000000000001</v>
      </c>
      <c r="F7" s="2" t="s">
        <v>3</v>
      </c>
      <c r="G7" s="2">
        <v>16.100000000000001</v>
      </c>
      <c r="H7" s="2" t="s">
        <v>4</v>
      </c>
      <c r="I7" s="2">
        <v>13.5</v>
      </c>
      <c r="J7" s="2" t="s">
        <v>5</v>
      </c>
      <c r="K7" s="2">
        <v>1.3</v>
      </c>
      <c r="L7" s="2" t="s">
        <v>6</v>
      </c>
      <c r="M7" s="2">
        <v>0.04</v>
      </c>
      <c r="P7" s="2"/>
      <c r="Q7" s="2"/>
      <c r="R7" s="2"/>
      <c r="S7" s="2"/>
    </row>
    <row r="8" spans="1:21">
      <c r="P8" s="3"/>
      <c r="Q8" s="3"/>
      <c r="R8" s="3"/>
      <c r="S8" s="3"/>
      <c r="T8" s="3"/>
      <c r="U8" s="3"/>
    </row>
    <row r="9" spans="1:21" ht="17.5">
      <c r="A9" s="2"/>
      <c r="P9" s="3" t="s">
        <v>13</v>
      </c>
      <c r="Q9" s="3" t="s">
        <v>14</v>
      </c>
      <c r="R9" s="3" t="s">
        <v>15</v>
      </c>
    </row>
    <row r="10" spans="1:21" ht="17.5">
      <c r="A10" s="2"/>
      <c r="P10" t="s">
        <v>1</v>
      </c>
      <c r="Q10">
        <v>19.920000000000002</v>
      </c>
      <c r="R10">
        <v>80.08</v>
      </c>
    </row>
    <row r="11" spans="1:21" ht="17.5">
      <c r="A11" s="2"/>
      <c r="B11" s="2" t="s">
        <v>3</v>
      </c>
      <c r="C11" s="2">
        <v>13.4</v>
      </c>
      <c r="P11" t="s">
        <v>2</v>
      </c>
      <c r="Q11">
        <v>8.86</v>
      </c>
      <c r="R11">
        <v>91.14</v>
      </c>
    </row>
    <row r="12" spans="1:21" ht="17.5">
      <c r="A12" s="2"/>
      <c r="P12" t="s">
        <v>3</v>
      </c>
      <c r="Q12">
        <v>10.5</v>
      </c>
      <c r="R12">
        <v>89.5</v>
      </c>
    </row>
    <row r="13" spans="1:21" ht="17.5">
      <c r="A13" s="2"/>
      <c r="P13" t="s">
        <v>4</v>
      </c>
      <c r="Q13">
        <v>10.79</v>
      </c>
      <c r="R13">
        <v>89.21</v>
      </c>
    </row>
    <row r="14" spans="1:21">
      <c r="P14" t="s">
        <v>5</v>
      </c>
      <c r="Q14">
        <v>54.82</v>
      </c>
      <c r="R14">
        <v>45.18</v>
      </c>
    </row>
    <row r="15" spans="1:21" ht="17.5">
      <c r="A15" s="2"/>
      <c r="B15" s="2" t="s">
        <v>2</v>
      </c>
      <c r="C15" s="2">
        <v>20.100000000000001</v>
      </c>
      <c r="P15" s="2" t="s">
        <v>16</v>
      </c>
      <c r="Q15" s="2">
        <f>Q19/S19*100</f>
        <v>37.500000000000007</v>
      </c>
      <c r="R15" s="2">
        <f>R19/S19*100</f>
        <v>62.5</v>
      </c>
      <c r="S15" s="2"/>
    </row>
    <row r="16" spans="1:21" ht="17.5">
      <c r="A16" s="2"/>
      <c r="P16" s="2"/>
      <c r="Q16" s="2"/>
      <c r="R16" s="2"/>
      <c r="S16" s="2"/>
    </row>
    <row r="17" spans="1:19" ht="17.5">
      <c r="A17" s="2"/>
      <c r="P17" s="2"/>
      <c r="Q17" s="2"/>
      <c r="R17" s="2"/>
      <c r="S17" s="2"/>
    </row>
    <row r="18" spans="1:19" ht="17.5">
      <c r="A18" s="2"/>
      <c r="P18" s="2"/>
      <c r="Q18" s="2"/>
      <c r="R18" s="2"/>
      <c r="S18" s="2"/>
    </row>
    <row r="19" spans="1:19" ht="17.5">
      <c r="A19" s="2"/>
      <c r="P19" s="2"/>
      <c r="Q19" s="2">
        <v>2.1</v>
      </c>
      <c r="R19" s="2">
        <v>3.5</v>
      </c>
      <c r="S19" s="2">
        <f>SUM(Q19:R19)</f>
        <v>5.6</v>
      </c>
    </row>
    <row r="20" spans="1:19" ht="17.5">
      <c r="P20" s="2"/>
      <c r="Q20" s="2"/>
      <c r="R20" s="2"/>
      <c r="S20" s="2"/>
    </row>
    <row r="21" spans="1:19" ht="17.5">
      <c r="A21" s="2"/>
      <c r="P21" s="2"/>
      <c r="Q21" s="2"/>
      <c r="R21" s="2"/>
      <c r="S21" s="2"/>
    </row>
    <row r="22" spans="1:19" ht="17.5">
      <c r="A22" s="2"/>
      <c r="P22" s="2"/>
      <c r="Q22" s="2"/>
      <c r="R22" s="2"/>
      <c r="S22" s="2"/>
    </row>
    <row r="23" spans="1:19" ht="17.5">
      <c r="A23" s="2"/>
      <c r="P23" s="2"/>
      <c r="Q23" s="2"/>
      <c r="R23" s="2"/>
      <c r="S23" s="2"/>
    </row>
    <row r="24" spans="1:19" ht="17.5">
      <c r="A24" s="2"/>
      <c r="P24" s="2"/>
      <c r="Q24" s="2"/>
      <c r="R24" s="2"/>
      <c r="S24" s="2"/>
    </row>
    <row r="25" spans="1:19" ht="17.5">
      <c r="A25" s="2"/>
      <c r="B25" s="2" t="s">
        <v>17</v>
      </c>
      <c r="C25" s="2">
        <v>0.1</v>
      </c>
      <c r="J25" s="4" t="s">
        <v>18</v>
      </c>
      <c r="K25" s="4" t="s">
        <v>19</v>
      </c>
      <c r="P25" s="2"/>
      <c r="Q25" s="2"/>
      <c r="R25" s="2"/>
      <c r="S25" s="2"/>
    </row>
    <row r="26" spans="1:19" ht="17.5">
      <c r="A26" s="2"/>
      <c r="J26" s="5" t="s">
        <v>1</v>
      </c>
      <c r="K26" s="5">
        <v>25.22</v>
      </c>
      <c r="P26" s="2"/>
      <c r="Q26" s="2"/>
      <c r="R26" s="2"/>
      <c r="S26" s="2"/>
    </row>
    <row r="27" spans="1:19" ht="17.5">
      <c r="B27" s="2" t="s">
        <v>1</v>
      </c>
      <c r="C27" s="2">
        <v>43.3</v>
      </c>
      <c r="J27" s="5" t="s">
        <v>20</v>
      </c>
      <c r="K27" s="5">
        <v>6.96</v>
      </c>
      <c r="P27" s="2"/>
      <c r="Q27" s="2"/>
      <c r="R27" s="2"/>
      <c r="S27" s="2"/>
    </row>
    <row r="28" spans="1:19" ht="17.5">
      <c r="A28" s="2"/>
      <c r="J28" s="5" t="s">
        <v>21</v>
      </c>
      <c r="K28" s="5">
        <v>5.59</v>
      </c>
      <c r="P28" s="2"/>
      <c r="Q28" s="2"/>
      <c r="R28" s="2"/>
      <c r="S28" s="2"/>
    </row>
    <row r="29" spans="1:19" ht="17.5">
      <c r="A29" s="2"/>
      <c r="J29" s="5" t="s">
        <v>3</v>
      </c>
      <c r="K29" s="5">
        <v>4.5599999999999996</v>
      </c>
      <c r="P29" s="2"/>
      <c r="Q29" s="2"/>
      <c r="R29" s="2"/>
      <c r="S29" s="2"/>
    </row>
    <row r="30" spans="1:19" ht="17.5">
      <c r="A30" s="2"/>
      <c r="J30" s="5" t="s">
        <v>22</v>
      </c>
      <c r="K30" s="5">
        <v>4.53</v>
      </c>
      <c r="P30" s="2"/>
      <c r="Q30" s="2"/>
      <c r="R30" s="2"/>
      <c r="S30" s="2"/>
    </row>
    <row r="31" spans="1:19" ht="17.5">
      <c r="A31" s="2"/>
      <c r="J31" s="5" t="s">
        <v>23</v>
      </c>
      <c r="K31" s="5">
        <v>4.3099999999999996</v>
      </c>
      <c r="P31" s="2"/>
      <c r="Q31" s="2"/>
      <c r="R31" s="2"/>
      <c r="S31" s="2"/>
    </row>
    <row r="32" spans="1:19" ht="17.5">
      <c r="A32" s="2"/>
      <c r="B32" s="2" t="s">
        <v>22</v>
      </c>
      <c r="C32" s="2">
        <v>0.83</v>
      </c>
      <c r="J32" s="5" t="s">
        <v>5</v>
      </c>
      <c r="K32" s="5">
        <v>4.1500000000000004</v>
      </c>
      <c r="P32" s="2"/>
      <c r="Q32" s="2"/>
      <c r="R32" s="2"/>
      <c r="S32" s="2"/>
    </row>
    <row r="33" spans="1:19" ht="17.5">
      <c r="A33" s="2"/>
      <c r="B33" s="2" t="s">
        <v>24</v>
      </c>
      <c r="C33" s="2">
        <v>0.4</v>
      </c>
      <c r="J33" s="5" t="s">
        <v>2</v>
      </c>
      <c r="K33" s="5">
        <v>4.1399999999999997</v>
      </c>
      <c r="P33" s="2"/>
      <c r="Q33" s="2"/>
      <c r="R33" s="2"/>
      <c r="S33" s="2"/>
    </row>
    <row r="34" spans="1:19" ht="17.5">
      <c r="A34" s="2"/>
      <c r="B34" s="2" t="s">
        <v>17</v>
      </c>
      <c r="C34" s="2">
        <v>0.14000000000000001</v>
      </c>
      <c r="J34" s="5" t="s">
        <v>6</v>
      </c>
      <c r="K34" s="5">
        <v>3.8</v>
      </c>
      <c r="P34" s="2"/>
      <c r="Q34" s="2"/>
      <c r="R34" s="2"/>
      <c r="S34" s="2"/>
    </row>
    <row r="35" spans="1:19" ht="17.5">
      <c r="A35" s="2"/>
      <c r="J35" s="5" t="s">
        <v>25</v>
      </c>
      <c r="K35" s="5">
        <v>3.52</v>
      </c>
      <c r="P35" s="2"/>
      <c r="Q35" s="2"/>
      <c r="R35" s="2"/>
      <c r="S35" s="2"/>
    </row>
    <row r="36" spans="1:19" ht="17.5">
      <c r="P36" s="2"/>
      <c r="Q36" s="2"/>
      <c r="R36" s="2"/>
      <c r="S36" s="2"/>
    </row>
    <row r="37" spans="1:19" ht="17.5">
      <c r="A37" s="2"/>
    </row>
    <row r="38" spans="1:19" ht="17.5">
      <c r="A38" s="2"/>
    </row>
    <row r="39" spans="1:19" ht="17.5">
      <c r="A39" s="2"/>
    </row>
    <row r="40" spans="1:19" ht="17.5">
      <c r="A40" s="2"/>
      <c r="B40" s="2" t="s">
        <v>26</v>
      </c>
      <c r="C40" s="2">
        <v>4.5999999999999996</v>
      </c>
    </row>
    <row r="41" spans="1:19" ht="17.5">
      <c r="A41" s="2"/>
      <c r="B41" s="2" t="s">
        <v>22</v>
      </c>
      <c r="C41" s="2">
        <v>2.1</v>
      </c>
    </row>
    <row r="42" spans="1:19" ht="17.5">
      <c r="A42" s="2"/>
    </row>
    <row r="43" spans="1:19" ht="17.5">
      <c r="A43" s="2"/>
      <c r="B43" s="2" t="s">
        <v>24</v>
      </c>
      <c r="C43" s="2">
        <v>0.81</v>
      </c>
    </row>
    <row r="44" spans="1:19" ht="17.5">
      <c r="A44" s="2"/>
      <c r="B44" s="2" t="s">
        <v>17</v>
      </c>
      <c r="C44" s="2">
        <v>0.11</v>
      </c>
    </row>
    <row r="45" spans="1:19" ht="17.5">
      <c r="A45" s="2"/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7C6A-9168-4520-9464-67FAEA8137B7}">
  <dimension ref="A1:C37"/>
  <sheetViews>
    <sheetView workbookViewId="0">
      <selection activeCell="B19" sqref="B19"/>
    </sheetView>
  </sheetViews>
  <sheetFormatPr defaultRowHeight="15"/>
  <cols>
    <col min="1" max="3" width="20.58203125" customWidth="1"/>
  </cols>
  <sheetData>
    <row r="1" spans="1:3" ht="17" thickBot="1">
      <c r="A1" t="s">
        <v>27</v>
      </c>
      <c r="B1" t="s">
        <v>28</v>
      </c>
      <c r="C1" s="6">
        <v>468353019</v>
      </c>
    </row>
    <row r="2" spans="1:3" ht="17" thickBot="1">
      <c r="A2" s="7">
        <v>45017</v>
      </c>
      <c r="B2" s="6">
        <v>468.35301900000002</v>
      </c>
      <c r="C2" s="6">
        <v>3318144507</v>
      </c>
    </row>
    <row r="3" spans="1:3" ht="17" thickBot="1">
      <c r="A3" s="7">
        <v>45108</v>
      </c>
      <c r="B3" s="6">
        <v>3786.4975260000001</v>
      </c>
      <c r="C3" s="6">
        <v>7065381767</v>
      </c>
    </row>
    <row r="4" spans="1:3" ht="17" thickBot="1">
      <c r="A4" s="7">
        <v>45200</v>
      </c>
      <c r="B4" s="6">
        <v>10851.879293</v>
      </c>
      <c r="C4" s="6">
        <v>4656690992</v>
      </c>
    </row>
    <row r="5" spans="1:3" ht="17" thickBot="1">
      <c r="A5" s="7">
        <v>45292</v>
      </c>
      <c r="B5" s="6">
        <v>15508.570285</v>
      </c>
      <c r="C5" s="6">
        <v>1628577829</v>
      </c>
    </row>
    <row r="6" spans="1:3" ht="17" thickBot="1">
      <c r="A6" s="7">
        <v>45383</v>
      </c>
      <c r="B6" s="6">
        <v>17137.148114</v>
      </c>
      <c r="C6" s="6">
        <v>-4869639440</v>
      </c>
    </row>
    <row r="7" spans="1:3" ht="17" thickBot="1">
      <c r="A7" s="7">
        <v>45474</v>
      </c>
      <c r="B7" s="6">
        <v>12267.508674000001</v>
      </c>
      <c r="C7" s="6">
        <v>6921971673</v>
      </c>
    </row>
    <row r="8" spans="1:3" ht="17" thickBot="1">
      <c r="A8" s="7">
        <v>45566</v>
      </c>
      <c r="B8" s="6">
        <v>19189.480347000001</v>
      </c>
      <c r="C8" s="6">
        <v>-725477393</v>
      </c>
    </row>
    <row r="9" spans="1:3" ht="17" thickBot="1">
      <c r="A9" s="7">
        <v>45658</v>
      </c>
      <c r="B9" s="6">
        <v>18464.002954</v>
      </c>
    </row>
    <row r="10" spans="1:3" ht="17" thickBot="1">
      <c r="A10" s="7">
        <v>45748</v>
      </c>
      <c r="B10" s="6">
        <v>19202.927782999999</v>
      </c>
    </row>
    <row r="17" spans="2:3">
      <c r="B17">
        <v>1000000</v>
      </c>
      <c r="C17">
        <f>B2/$B$17</f>
        <v>4.68353019E-4</v>
      </c>
    </row>
    <row r="18" spans="2:3">
      <c r="C18">
        <f t="shared" ref="C18:C37" si="0">B3/$B$17</f>
        <v>3.7864975260000003E-3</v>
      </c>
    </row>
    <row r="19" spans="2:3">
      <c r="C19">
        <f t="shared" si="0"/>
        <v>1.0851879292999999E-2</v>
      </c>
    </row>
    <row r="20" spans="2:3">
      <c r="C20">
        <f t="shared" si="0"/>
        <v>1.5508570285E-2</v>
      </c>
    </row>
    <row r="21" spans="2:3">
      <c r="C21">
        <f t="shared" si="0"/>
        <v>1.7137148113999998E-2</v>
      </c>
    </row>
    <row r="22" spans="2:3">
      <c r="C22">
        <f t="shared" si="0"/>
        <v>1.2267508674E-2</v>
      </c>
    </row>
    <row r="23" spans="2:3">
      <c r="C23">
        <f t="shared" si="0"/>
        <v>1.9189480347E-2</v>
      </c>
    </row>
    <row r="24" spans="2:3">
      <c r="C24">
        <f t="shared" si="0"/>
        <v>1.8464002954000001E-2</v>
      </c>
    </row>
    <row r="25" spans="2:3">
      <c r="C25">
        <f t="shared" si="0"/>
        <v>1.9202927783E-2</v>
      </c>
    </row>
    <row r="26" spans="2:3">
      <c r="C26">
        <f t="shared" si="0"/>
        <v>0</v>
      </c>
    </row>
    <row r="27" spans="2:3">
      <c r="C27">
        <f t="shared" si="0"/>
        <v>0</v>
      </c>
    </row>
    <row r="28" spans="2:3">
      <c r="C28">
        <f t="shared" si="0"/>
        <v>0</v>
      </c>
    </row>
    <row r="29" spans="2:3">
      <c r="C29">
        <f t="shared" si="0"/>
        <v>0</v>
      </c>
    </row>
    <row r="30" spans="2:3">
      <c r="C30">
        <f t="shared" si="0"/>
        <v>0</v>
      </c>
    </row>
    <row r="31" spans="2:3">
      <c r="C31">
        <f t="shared" si="0"/>
        <v>0</v>
      </c>
    </row>
    <row r="32" spans="2:3">
      <c r="C32">
        <f t="shared" si="0"/>
        <v>1</v>
      </c>
    </row>
    <row r="33" spans="3:3">
      <c r="C33">
        <f t="shared" si="0"/>
        <v>0</v>
      </c>
    </row>
    <row r="34" spans="3:3">
      <c r="C34">
        <f t="shared" si="0"/>
        <v>0</v>
      </c>
    </row>
    <row r="35" spans="3:3">
      <c r="C35">
        <f t="shared" si="0"/>
        <v>0</v>
      </c>
    </row>
    <row r="36" spans="3:3">
      <c r="C36">
        <f t="shared" si="0"/>
        <v>0</v>
      </c>
    </row>
    <row r="37" spans="3:3">
      <c r="C37">
        <f t="shared" si="0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FA5B-78B6-434A-AB49-F7548652F628}">
  <dimension ref="A1:R42"/>
  <sheetViews>
    <sheetView topLeftCell="A14" zoomScale="70" zoomScaleNormal="70" workbookViewId="0">
      <pane xSplit="1" topLeftCell="B1" activePane="topRight" state="frozen"/>
      <selection pane="topRight" activeCell="B47" sqref="B47"/>
    </sheetView>
  </sheetViews>
  <sheetFormatPr defaultRowHeight="15"/>
  <cols>
    <col min="1" max="1" width="11.83203125" bestFit="1" customWidth="1"/>
    <col min="2" max="2" width="18.75" bestFit="1" customWidth="1"/>
    <col min="3" max="3" width="20.83203125" bestFit="1" customWidth="1"/>
    <col min="4" max="4" width="20.83203125" customWidth="1"/>
    <col min="5" max="5" width="7.6640625" customWidth="1"/>
    <col min="6" max="6" width="16" bestFit="1" customWidth="1"/>
    <col min="7" max="7" width="20.58203125" customWidth="1"/>
    <col min="8" max="8" width="6.5" customWidth="1"/>
    <col min="9" max="9" width="18.08203125" bestFit="1" customWidth="1"/>
    <col min="10" max="10" width="12.33203125" bestFit="1" customWidth="1"/>
    <col min="12" max="12" width="7.58203125" customWidth="1"/>
    <col min="13" max="13" width="9.58203125" customWidth="1"/>
    <col min="14" max="14" width="5.83203125" customWidth="1"/>
    <col min="16" max="16" width="10.83203125" bestFit="1" customWidth="1"/>
    <col min="18" max="18" width="11.83203125" bestFit="1" customWidth="1"/>
  </cols>
  <sheetData>
    <row r="1" spans="1:18">
      <c r="C1" t="s">
        <v>198</v>
      </c>
      <c r="F1" t="s">
        <v>199</v>
      </c>
      <c r="I1" t="s">
        <v>199</v>
      </c>
      <c r="M1" t="s">
        <v>200</v>
      </c>
      <c r="P1" t="s">
        <v>201</v>
      </c>
    </row>
    <row r="2" spans="1:18" ht="45">
      <c r="A2" s="8" t="s">
        <v>29</v>
      </c>
      <c r="B2" s="8" t="s">
        <v>30</v>
      </c>
      <c r="C2" s="8" t="s">
        <v>31</v>
      </c>
      <c r="D2" s="8" t="s">
        <v>185</v>
      </c>
      <c r="E2" s="8" t="s">
        <v>32</v>
      </c>
      <c r="F2" s="8" t="s">
        <v>175</v>
      </c>
      <c r="G2" s="8" t="s">
        <v>181</v>
      </c>
      <c r="H2" s="8" t="s">
        <v>33</v>
      </c>
      <c r="I2" s="8" t="s">
        <v>183</v>
      </c>
      <c r="J2" s="8" t="s">
        <v>182</v>
      </c>
      <c r="K2" s="8" t="s">
        <v>184</v>
      </c>
      <c r="L2" s="8" t="s">
        <v>33</v>
      </c>
      <c r="M2" s="8" t="s">
        <v>34</v>
      </c>
      <c r="N2" s="38" t="s">
        <v>33</v>
      </c>
      <c r="O2" s="8" t="s">
        <v>197</v>
      </c>
      <c r="P2" s="8" t="s">
        <v>179</v>
      </c>
      <c r="R2" s="8" t="s">
        <v>176</v>
      </c>
    </row>
    <row r="3" spans="1:18">
      <c r="A3" s="9">
        <v>45108</v>
      </c>
      <c r="B3" s="10">
        <v>110970652271</v>
      </c>
      <c r="C3" s="10">
        <v>1234116812292</v>
      </c>
      <c r="D3" s="10">
        <f>B3+C3</f>
        <v>1345087464563</v>
      </c>
      <c r="E3" s="11">
        <f>B3/C3</f>
        <v>8.9919083157862068E-2</v>
      </c>
      <c r="F3" s="11"/>
      <c r="N3" s="39"/>
    </row>
    <row r="4" spans="1:18">
      <c r="A4" s="9">
        <v>45200</v>
      </c>
      <c r="B4" s="10">
        <v>225973562768</v>
      </c>
      <c r="C4" s="10">
        <v>2653355192878</v>
      </c>
      <c r="D4" s="10">
        <f t="shared" ref="D4:D10" si="0">B4+C4</f>
        <v>2879328755646</v>
      </c>
      <c r="E4" s="11">
        <f t="shared" ref="E4:E10" si="1">B4/C4</f>
        <v>8.5165213980603366E-2</v>
      </c>
      <c r="F4" s="11"/>
      <c r="N4" s="39"/>
    </row>
    <row r="5" spans="1:18">
      <c r="A5" s="9">
        <v>45292</v>
      </c>
      <c r="B5" s="10">
        <v>443214024049</v>
      </c>
      <c r="C5" s="10">
        <v>5814904479885</v>
      </c>
      <c r="D5" s="10">
        <f t="shared" si="0"/>
        <v>6258118503934</v>
      </c>
      <c r="E5" s="11">
        <f t="shared" si="1"/>
        <v>7.6220344733464188E-2</v>
      </c>
      <c r="F5" s="13">
        <f t="shared" ref="F5:F10" si="2">E13</f>
        <v>7690000000</v>
      </c>
      <c r="G5">
        <v>7690000000</v>
      </c>
      <c r="H5" s="12">
        <f>F5/B5</f>
        <v>1.7350534014577625E-2</v>
      </c>
      <c r="K5">
        <f>I5+G5</f>
        <v>7690000000</v>
      </c>
      <c r="L5" s="14">
        <f>K5/D5</f>
        <v>1.2288038322006663E-3</v>
      </c>
      <c r="M5" s="37"/>
      <c r="N5" s="39"/>
    </row>
    <row r="6" spans="1:18">
      <c r="A6" s="9">
        <v>45383</v>
      </c>
      <c r="B6" s="10">
        <v>316114603017</v>
      </c>
      <c r="C6" s="10">
        <v>5270374398705</v>
      </c>
      <c r="D6" s="10">
        <f t="shared" si="0"/>
        <v>5586489001722</v>
      </c>
      <c r="E6" s="11">
        <f t="shared" si="1"/>
        <v>5.9979534488986873E-2</v>
      </c>
      <c r="F6" s="13">
        <f t="shared" si="2"/>
        <v>176940000000</v>
      </c>
      <c r="G6">
        <v>184630000000</v>
      </c>
      <c r="H6" s="12">
        <f t="shared" ref="H6:H10" si="3">F6/B6</f>
        <v>0.55973371148084716</v>
      </c>
      <c r="K6">
        <f>I6+G6</f>
        <v>184630000000</v>
      </c>
      <c r="L6" s="14">
        <f>K6/D6</f>
        <v>3.3049380378819139E-2</v>
      </c>
      <c r="M6" s="37">
        <v>71720000000</v>
      </c>
      <c r="N6" s="39">
        <f>M6/B6</f>
        <v>0.22687974334467251</v>
      </c>
      <c r="O6" s="11">
        <f>M6/D6</f>
        <v>1.2838117103227584E-2</v>
      </c>
      <c r="P6">
        <f>P13*$J$12</f>
        <v>858000000</v>
      </c>
    </row>
    <row r="7" spans="1:18">
      <c r="A7" s="9">
        <v>45474</v>
      </c>
      <c r="B7" s="10">
        <v>256028261587</v>
      </c>
      <c r="C7" s="10">
        <v>4796241206373</v>
      </c>
      <c r="D7" s="10">
        <f t="shared" si="0"/>
        <v>5052269467960</v>
      </c>
      <c r="E7" s="11">
        <f t="shared" si="1"/>
        <v>5.3381022882419416E-2</v>
      </c>
      <c r="F7" s="13">
        <f t="shared" si="2"/>
        <v>130290000000</v>
      </c>
      <c r="G7">
        <v>314920000000</v>
      </c>
      <c r="H7" s="12">
        <f t="shared" si="3"/>
        <v>0.50888913275586434</v>
      </c>
      <c r="I7" s="13">
        <f>J7-J6</f>
        <v>6620000000</v>
      </c>
      <c r="J7">
        <f>J15*J12</f>
        <v>6620000000</v>
      </c>
      <c r="K7">
        <f>I7+G7</f>
        <v>321540000000</v>
      </c>
      <c r="L7" s="14">
        <f>K7/D7</f>
        <v>6.3642686131274606E-2</v>
      </c>
      <c r="M7" s="37">
        <v>105900000000</v>
      </c>
      <c r="N7" s="39">
        <f>M7/B7</f>
        <v>0.41362621197978378</v>
      </c>
      <c r="O7" s="11">
        <f>M7/D7</f>
        <v>2.0960877219947691E-2</v>
      </c>
      <c r="P7">
        <f t="shared" ref="P7:P10" si="4">P14*$J$12</f>
        <v>12047000000</v>
      </c>
    </row>
    <row r="8" spans="1:18">
      <c r="A8" s="9">
        <v>45566</v>
      </c>
      <c r="B8" s="10">
        <v>592762651094</v>
      </c>
      <c r="C8" s="10">
        <v>9554585156884</v>
      </c>
      <c r="D8" s="10">
        <f t="shared" si="0"/>
        <v>10147347807978</v>
      </c>
      <c r="E8" s="11">
        <f t="shared" si="1"/>
        <v>6.2039601025160089E-2</v>
      </c>
      <c r="F8" s="13">
        <f t="shared" si="2"/>
        <v>106110000000</v>
      </c>
      <c r="G8">
        <v>421030000000</v>
      </c>
      <c r="H8" s="12">
        <f t="shared" si="3"/>
        <v>0.17900925404824997</v>
      </c>
      <c r="I8" s="13">
        <f t="shared" ref="I8:I10" si="5">J8-J7</f>
        <v>8210000000</v>
      </c>
      <c r="J8">
        <f>J16*$J$12</f>
        <v>14830000000</v>
      </c>
      <c r="K8">
        <f>I8+G8</f>
        <v>429240000000</v>
      </c>
      <c r="L8" s="14">
        <f>K8/D8</f>
        <v>4.2300708335090767E-2</v>
      </c>
      <c r="M8" s="37">
        <v>223000000000</v>
      </c>
      <c r="N8" s="39">
        <f>M8/B8</f>
        <v>0.3762045391834864</v>
      </c>
      <c r="O8" s="11">
        <f>M8/D8</f>
        <v>2.1976185720634703E-2</v>
      </c>
      <c r="P8">
        <f t="shared" si="4"/>
        <v>14656000000</v>
      </c>
      <c r="R8">
        <f>R16*$J$12</f>
        <v>-520000000</v>
      </c>
    </row>
    <row r="9" spans="1:18">
      <c r="A9" s="9">
        <v>45658</v>
      </c>
      <c r="B9" s="10">
        <v>528981835146</v>
      </c>
      <c r="C9" s="10">
        <v>7785239049815</v>
      </c>
      <c r="D9" s="10">
        <f t="shared" si="0"/>
        <v>8314220884961</v>
      </c>
      <c r="E9" s="11">
        <f t="shared" si="1"/>
        <v>6.7946768462886206E-2</v>
      </c>
      <c r="F9" s="13">
        <f t="shared" si="2"/>
        <v>224970000000</v>
      </c>
      <c r="G9">
        <v>646000000000</v>
      </c>
      <c r="H9" s="12">
        <f t="shared" si="3"/>
        <v>0.42528870568477622</v>
      </c>
      <c r="I9" s="13">
        <f t="shared" si="5"/>
        <v>27350000000</v>
      </c>
      <c r="J9">
        <f>J17*$J$12</f>
        <v>42180000000</v>
      </c>
      <c r="K9">
        <f>I9+G9</f>
        <v>673350000000</v>
      </c>
      <c r="L9" s="14">
        <f>K9/D9</f>
        <v>8.098774489116288E-2</v>
      </c>
      <c r="M9" s="37">
        <v>194000000000</v>
      </c>
      <c r="N9" s="39">
        <f>M9/B9</f>
        <v>0.36674227187112318</v>
      </c>
      <c r="O9" s="11">
        <f>M9/D9</f>
        <v>2.3333515272719388E-2</v>
      </c>
      <c r="P9">
        <f t="shared" si="4"/>
        <v>18623000000</v>
      </c>
      <c r="R9">
        <f t="shared" ref="R9:R10" si="6">R17*$J$12</f>
        <v>2500000000</v>
      </c>
    </row>
    <row r="10" spans="1:18">
      <c r="A10" s="9">
        <v>45748</v>
      </c>
      <c r="B10" s="10">
        <v>349382481841</v>
      </c>
      <c r="C10" s="10">
        <v>6167128407751</v>
      </c>
      <c r="D10" s="10">
        <f t="shared" si="0"/>
        <v>6516510889592</v>
      </c>
      <c r="E10" s="11">
        <f t="shared" si="1"/>
        <v>5.6652376720725879E-2</v>
      </c>
      <c r="F10" s="13">
        <f t="shared" si="2"/>
        <v>191280000000</v>
      </c>
      <c r="G10">
        <v>837280000000</v>
      </c>
      <c r="H10" s="12">
        <f t="shared" si="3"/>
        <v>0.54748022566011012</v>
      </c>
      <c r="I10" s="13">
        <f t="shared" si="5"/>
        <v>22410000000</v>
      </c>
      <c r="J10">
        <f>J18*$J$12</f>
        <v>64590000000</v>
      </c>
      <c r="K10">
        <f>I10+G10</f>
        <v>859690000000</v>
      </c>
      <c r="L10" s="14">
        <f>K10/D10</f>
        <v>0.13192489271721686</v>
      </c>
      <c r="M10">
        <v>198000000000</v>
      </c>
      <c r="N10" s="39">
        <f>M10/B10</f>
        <v>0.566714160815045</v>
      </c>
      <c r="O10" s="11">
        <f>M10/D10</f>
        <v>3.0384358033720221E-2</v>
      </c>
      <c r="P10">
        <f t="shared" si="4"/>
        <v>35000000000</v>
      </c>
      <c r="R10">
        <f t="shared" si="6"/>
        <v>4269999999.9999995</v>
      </c>
    </row>
    <row r="12" spans="1:18">
      <c r="J12">
        <v>1000000000</v>
      </c>
    </row>
    <row r="13" spans="1:18">
      <c r="A13" s="9">
        <v>45292</v>
      </c>
      <c r="E13">
        <f t="shared" ref="E13:E18" si="7">G5-G4</f>
        <v>7690000000</v>
      </c>
      <c r="F13">
        <v>7690000000</v>
      </c>
      <c r="P13">
        <v>0.85799999999999998</v>
      </c>
    </row>
    <row r="14" spans="1:18">
      <c r="A14" s="9">
        <v>45383</v>
      </c>
      <c r="E14">
        <f t="shared" si="7"/>
        <v>176940000000</v>
      </c>
      <c r="F14">
        <v>176940000000</v>
      </c>
      <c r="P14">
        <v>12.047000000000001</v>
      </c>
    </row>
    <row r="15" spans="1:18">
      <c r="A15" s="9">
        <v>45474</v>
      </c>
      <c r="E15">
        <f t="shared" si="7"/>
        <v>130290000000</v>
      </c>
      <c r="F15">
        <v>130290000000</v>
      </c>
      <c r="J15">
        <v>6.62</v>
      </c>
      <c r="P15">
        <v>14.656000000000001</v>
      </c>
    </row>
    <row r="16" spans="1:18">
      <c r="A16" s="9">
        <v>45566</v>
      </c>
      <c r="E16">
        <f t="shared" si="7"/>
        <v>106110000000</v>
      </c>
      <c r="F16">
        <v>106110000000</v>
      </c>
      <c r="J16">
        <v>14.83</v>
      </c>
      <c r="P16">
        <v>18.623000000000001</v>
      </c>
      <c r="R16">
        <v>-0.52</v>
      </c>
    </row>
    <row r="17" spans="1:18">
      <c r="A17" s="9">
        <v>45658</v>
      </c>
      <c r="E17">
        <f t="shared" si="7"/>
        <v>224970000000</v>
      </c>
      <c r="F17">
        <v>224970000000</v>
      </c>
      <c r="J17">
        <v>42.18</v>
      </c>
      <c r="P17">
        <v>35</v>
      </c>
      <c r="R17">
        <v>2.5</v>
      </c>
    </row>
    <row r="18" spans="1:18">
      <c r="A18" s="9">
        <v>45748</v>
      </c>
      <c r="E18">
        <f t="shared" si="7"/>
        <v>191280000000</v>
      </c>
      <c r="F18">
        <v>191280000000</v>
      </c>
      <c r="J18">
        <v>64.59</v>
      </c>
      <c r="P18">
        <v>48.6</v>
      </c>
      <c r="R18">
        <v>4.2699999999999996</v>
      </c>
    </row>
    <row r="19" spans="1:18">
      <c r="A19" s="9">
        <v>45839</v>
      </c>
      <c r="E19" t="e">
        <f>#REF!-G10</f>
        <v>#REF!</v>
      </c>
    </row>
    <row r="36" spans="1:10" ht="30">
      <c r="A36" s="8" t="s">
        <v>29</v>
      </c>
      <c r="B36" s="8" t="s">
        <v>6</v>
      </c>
      <c r="C36" s="8" t="s">
        <v>35</v>
      </c>
      <c r="D36" s="8"/>
      <c r="E36" s="8" t="s">
        <v>36</v>
      </c>
      <c r="F36" s="8" t="s">
        <v>37</v>
      </c>
      <c r="G36" s="8" t="s">
        <v>38</v>
      </c>
      <c r="H36" s="8" t="s">
        <v>34</v>
      </c>
      <c r="J36" s="8" t="s">
        <v>180</v>
      </c>
    </row>
    <row r="37" spans="1:10">
      <c r="A37" s="9">
        <v>45292</v>
      </c>
      <c r="B37" s="10">
        <v>301439233806</v>
      </c>
      <c r="C37" s="10">
        <v>104476290281</v>
      </c>
      <c r="D37" s="10"/>
      <c r="E37" s="10">
        <v>7088193395</v>
      </c>
      <c r="F37" s="10">
        <v>5709846866</v>
      </c>
      <c r="G37" s="10">
        <v>17750000000</v>
      </c>
      <c r="H37" s="10">
        <f>M5</f>
        <v>0</v>
      </c>
    </row>
    <row r="38" spans="1:10">
      <c r="A38" s="9">
        <v>45383</v>
      </c>
      <c r="B38" s="10">
        <v>217603673825</v>
      </c>
      <c r="C38" s="10">
        <v>71162990463</v>
      </c>
      <c r="D38" s="10"/>
      <c r="E38" s="10">
        <v>6102184978</v>
      </c>
      <c r="F38" s="10">
        <v>7501134872</v>
      </c>
      <c r="G38" s="10">
        <v>21500000000</v>
      </c>
      <c r="H38" s="10">
        <f>M6</f>
        <v>71720000000</v>
      </c>
    </row>
    <row r="39" spans="1:10">
      <c r="A39" s="9">
        <v>45474</v>
      </c>
      <c r="B39" s="10">
        <v>180044297955</v>
      </c>
      <c r="C39" s="10">
        <v>60932580909</v>
      </c>
      <c r="D39" s="10"/>
      <c r="E39" s="10">
        <v>5615364348</v>
      </c>
      <c r="F39" s="10">
        <v>7265082391</v>
      </c>
      <c r="G39" s="10">
        <v>14400000000</v>
      </c>
      <c r="H39" s="10">
        <f>M7</f>
        <v>105900000000</v>
      </c>
    </row>
    <row r="40" spans="1:10">
      <c r="A40" s="9">
        <v>45566</v>
      </c>
      <c r="B40" s="10">
        <v>438326766278</v>
      </c>
      <c r="C40" s="10">
        <v>127032858600</v>
      </c>
      <c r="D40" s="10"/>
      <c r="E40" s="10">
        <v>13859096144</v>
      </c>
      <c r="F40" s="10">
        <v>9344414176</v>
      </c>
      <c r="G40" s="10">
        <v>71000000000</v>
      </c>
      <c r="H40" s="10">
        <f>M8</f>
        <v>223000000000</v>
      </c>
    </row>
    <row r="41" spans="1:10">
      <c r="A41" s="9">
        <v>45658</v>
      </c>
      <c r="B41" s="10">
        <v>387789140611</v>
      </c>
      <c r="C41" s="10">
        <v>116139474265</v>
      </c>
      <c r="D41" s="10"/>
      <c r="E41" s="10">
        <v>12837127289</v>
      </c>
      <c r="F41" s="10">
        <v>9002417938</v>
      </c>
      <c r="G41" s="10">
        <v>46000000000</v>
      </c>
      <c r="H41" s="10">
        <f>M9</f>
        <v>194000000000</v>
      </c>
      <c r="I41" s="14">
        <f>G41/SUM(H41,G41,F41,E41,C41,B41)</f>
        <v>6.0070400411807078E-2</v>
      </c>
    </row>
    <row r="42" spans="1:10">
      <c r="A42" s="9">
        <v>45748</v>
      </c>
      <c r="B42" s="10">
        <v>226072927981</v>
      </c>
      <c r="C42" s="10">
        <v>94124505869</v>
      </c>
      <c r="D42" s="10"/>
      <c r="E42" s="10">
        <v>17905669673</v>
      </c>
      <c r="F42" s="10">
        <v>7194082446</v>
      </c>
      <c r="G42">
        <v>35000000000</v>
      </c>
      <c r="H42" s="10">
        <f>M10</f>
        <v>198000000000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71CE-DB58-4DD4-90E3-389BD958EFB8}">
  <dimension ref="A1:B6"/>
  <sheetViews>
    <sheetView tabSelected="1" workbookViewId="0">
      <selection activeCell="Q18" sqref="Q18"/>
    </sheetView>
  </sheetViews>
  <sheetFormatPr defaultRowHeight="15"/>
  <sheetData>
    <row r="1" spans="1:2">
      <c r="A1" t="s">
        <v>202</v>
      </c>
      <c r="B1" t="s">
        <v>203</v>
      </c>
    </row>
    <row r="2" spans="1:2">
      <c r="A2" t="s">
        <v>38</v>
      </c>
      <c r="B2">
        <v>95.7</v>
      </c>
    </row>
    <row r="3" spans="1:2">
      <c r="A3" t="s">
        <v>36</v>
      </c>
      <c r="B3">
        <v>80.099999999999994</v>
      </c>
    </row>
    <row r="4" spans="1:2">
      <c r="A4" t="s">
        <v>6</v>
      </c>
      <c r="B4" s="19">
        <v>70.2</v>
      </c>
    </row>
    <row r="5" spans="1:2">
      <c r="A5" t="s">
        <v>5</v>
      </c>
      <c r="B5">
        <v>41.8</v>
      </c>
    </row>
    <row r="6" spans="1:2">
      <c r="A6" t="s">
        <v>35</v>
      </c>
      <c r="B6">
        <v>41.7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B6D0-44AD-4BBB-A106-849C1A277E11}">
  <dimension ref="A1:R42"/>
  <sheetViews>
    <sheetView topLeftCell="B1" zoomScale="85" zoomScaleNormal="85" workbookViewId="0">
      <selection activeCell="N6" sqref="N6:N10"/>
    </sheetView>
  </sheetViews>
  <sheetFormatPr defaultRowHeight="15"/>
  <cols>
    <col min="1" max="1" width="11.83203125" bestFit="1" customWidth="1"/>
    <col min="2" max="3" width="20.83203125" bestFit="1" customWidth="1"/>
    <col min="4" max="4" width="20.83203125" customWidth="1"/>
    <col min="5" max="5" width="8.08203125" customWidth="1"/>
    <col min="6" max="6" width="20.83203125" bestFit="1" customWidth="1"/>
    <col min="7" max="7" width="20.58203125" customWidth="1"/>
    <col min="8" max="8" width="8.83203125" customWidth="1"/>
    <col min="9" max="9" width="18.08203125" bestFit="1" customWidth="1"/>
    <col min="10" max="10" width="12.33203125" bestFit="1" customWidth="1"/>
    <col min="12" max="12" width="11.25" bestFit="1" customWidth="1"/>
    <col min="13" max="13" width="8.25" bestFit="1" customWidth="1"/>
    <col min="14" max="14" width="13.5" style="35" bestFit="1" customWidth="1"/>
    <col min="16" max="17" width="9.25" bestFit="1" customWidth="1"/>
  </cols>
  <sheetData>
    <row r="1" spans="1:18">
      <c r="D1" t="s">
        <v>196</v>
      </c>
      <c r="G1" t="s">
        <v>194</v>
      </c>
      <c r="I1" t="s">
        <v>194</v>
      </c>
      <c r="L1" t="s">
        <v>194</v>
      </c>
      <c r="N1" s="35" t="s">
        <v>193</v>
      </c>
    </row>
    <row r="2" spans="1:18" ht="75">
      <c r="A2" s="8" t="s">
        <v>29</v>
      </c>
      <c r="B2" s="8" t="s">
        <v>30</v>
      </c>
      <c r="C2" s="8" t="s">
        <v>31</v>
      </c>
      <c r="D2" s="8" t="s">
        <v>185</v>
      </c>
      <c r="E2" s="8" t="s">
        <v>32</v>
      </c>
      <c r="F2" s="8" t="s">
        <v>175</v>
      </c>
      <c r="G2" s="8" t="s">
        <v>189</v>
      </c>
      <c r="H2" s="8" t="s">
        <v>33</v>
      </c>
      <c r="I2" s="8" t="s">
        <v>183</v>
      </c>
      <c r="J2" s="8" t="s">
        <v>182</v>
      </c>
      <c r="L2" s="8" t="s">
        <v>184</v>
      </c>
      <c r="M2" s="8" t="s">
        <v>33</v>
      </c>
      <c r="N2" s="36" t="s">
        <v>34</v>
      </c>
      <c r="O2" s="8" t="s">
        <v>191</v>
      </c>
      <c r="P2" s="8" t="s">
        <v>192</v>
      </c>
      <c r="Q2" s="8" t="s">
        <v>195</v>
      </c>
    </row>
    <row r="3" spans="1:18">
      <c r="A3" s="9">
        <v>45108</v>
      </c>
      <c r="B3" s="10">
        <f>Exchange!B4</f>
        <v>778247435480</v>
      </c>
      <c r="C3" s="10">
        <f>D3-B3</f>
        <v>684300358438</v>
      </c>
      <c r="D3" s="10">
        <f>Exchange!C4</f>
        <v>1462547793918</v>
      </c>
      <c r="E3" s="11">
        <f>B3/D3</f>
        <v>0.53211760922708939</v>
      </c>
      <c r="F3" s="11"/>
      <c r="Q3">
        <f>Q20*$Q$11</f>
        <v>1213000000000</v>
      </c>
      <c r="R3" s="14"/>
    </row>
    <row r="4" spans="1:18">
      <c r="A4" s="9">
        <v>45200</v>
      </c>
      <c r="B4" s="10">
        <f>Exchange!B5</f>
        <v>1487101330221</v>
      </c>
      <c r="C4" s="10">
        <f t="shared" ref="C4:C11" si="0">D4-B4</f>
        <v>1392227425424</v>
      </c>
      <c r="D4" s="10">
        <f>Exchange!C5</f>
        <v>2879328755645</v>
      </c>
      <c r="E4" s="11">
        <f t="shared" ref="E4:E11" si="1">B4/D4</f>
        <v>0.51647500387216938</v>
      </c>
      <c r="F4" s="11"/>
      <c r="Q4">
        <f>Q21*$Q$11</f>
        <v>2420000000000</v>
      </c>
      <c r="R4" s="14"/>
    </row>
    <row r="5" spans="1:18">
      <c r="A5" s="9">
        <v>45292</v>
      </c>
      <c r="B5" s="10">
        <f>Exchange!B6</f>
        <v>3313730724690</v>
      </c>
      <c r="C5" s="10">
        <f t="shared" si="0"/>
        <v>2944387779244</v>
      </c>
      <c r="D5" s="10">
        <f>Exchange!C6</f>
        <v>6258118503934</v>
      </c>
      <c r="E5" s="11">
        <f t="shared" si="1"/>
        <v>0.52950910447076249</v>
      </c>
      <c r="F5" s="13">
        <f>E21</f>
        <v>7690000000</v>
      </c>
      <c r="G5">
        <v>7690000000</v>
      </c>
      <c r="H5" s="12">
        <f>F5/B5</f>
        <v>2.3206472217863752E-3</v>
      </c>
      <c r="L5">
        <f>I5+G5</f>
        <v>7690000000</v>
      </c>
      <c r="M5" s="14">
        <f>L5/D5</f>
        <v>1.2288038322006663E-3</v>
      </c>
      <c r="N5" s="37"/>
      <c r="O5" s="14"/>
      <c r="Q5">
        <f>Q22*$Q$11</f>
        <v>4780000000000</v>
      </c>
      <c r="R5" s="14"/>
    </row>
    <row r="6" spans="1:18">
      <c r="A6" s="9">
        <v>45383</v>
      </c>
      <c r="B6" s="10">
        <f>Exchange!B7</f>
        <v>2889366004478</v>
      </c>
      <c r="C6" s="10">
        <f t="shared" si="0"/>
        <v>2702351764986</v>
      </c>
      <c r="D6" s="10">
        <f>Exchange!C7</f>
        <v>5591717769464</v>
      </c>
      <c r="E6" s="11">
        <f t="shared" si="1"/>
        <v>0.51672243192541589</v>
      </c>
      <c r="F6" s="13">
        <f>E22</f>
        <v>176940000000</v>
      </c>
      <c r="G6">
        <v>184630000000</v>
      </c>
      <c r="H6" s="12">
        <f t="shared" ref="H6:H10" si="2">F6/B6</f>
        <v>6.1238347694883476E-2</v>
      </c>
      <c r="L6">
        <f t="shared" ref="L6:L11" si="3">I6+G6</f>
        <v>184630000000</v>
      </c>
      <c r="M6" s="14">
        <f t="shared" ref="M6:M11" si="4">L6/D6</f>
        <v>3.3018476184233078E-2</v>
      </c>
      <c r="N6" s="37">
        <f>N23*$K$12</f>
        <v>71720000000</v>
      </c>
      <c r="O6" s="14">
        <f>N6/B6</f>
        <v>2.4822054349932423E-2</v>
      </c>
      <c r="P6" s="14">
        <f>N6/D6</f>
        <v>1.2826112289081929E-2</v>
      </c>
      <c r="Q6">
        <f>Q23*$Q$11</f>
        <v>3920000000000</v>
      </c>
      <c r="R6" s="14">
        <f t="shared" ref="R3:R8" si="5">N6/Q6</f>
        <v>1.8295918367346939E-2</v>
      </c>
    </row>
    <row r="7" spans="1:18">
      <c r="A7" s="9">
        <v>45474</v>
      </c>
      <c r="B7" s="10">
        <f>Exchange!B8</f>
        <v>2286013728990</v>
      </c>
      <c r="C7" s="10">
        <f t="shared" si="0"/>
        <v>2771888499313</v>
      </c>
      <c r="D7" s="10">
        <f>Exchange!C8</f>
        <v>5057902228303</v>
      </c>
      <c r="E7" s="11">
        <f t="shared" si="1"/>
        <v>0.45196874629128425</v>
      </c>
      <c r="F7" s="13">
        <f>E23</f>
        <v>130290000000</v>
      </c>
      <c r="G7">
        <v>314920000000</v>
      </c>
      <c r="H7" s="12">
        <f t="shared" si="2"/>
        <v>5.6994408365851922E-2</v>
      </c>
      <c r="I7" s="13">
        <f>J7-J6</f>
        <v>6620000000</v>
      </c>
      <c r="J7">
        <f>K7*K12</f>
        <v>6620000000</v>
      </c>
      <c r="K7">
        <v>6.62</v>
      </c>
      <c r="L7">
        <f t="shared" si="3"/>
        <v>321540000000</v>
      </c>
      <c r="M7" s="14">
        <f t="shared" si="4"/>
        <v>6.3571810107504068E-2</v>
      </c>
      <c r="N7" s="37">
        <f>N24*$K$12</f>
        <v>105900000000</v>
      </c>
      <c r="O7" s="14">
        <f t="shared" ref="O7:O10" si="6">N7/B7</f>
        <v>4.632518110325979E-2</v>
      </c>
      <c r="P7" s="14">
        <f t="shared" ref="P7:P10" si="7">N7/D7</f>
        <v>2.0937534024957023E-2</v>
      </c>
      <c r="Q7">
        <f>Q24*$Q$11</f>
        <v>3317000000000</v>
      </c>
      <c r="R7" s="14">
        <f t="shared" si="5"/>
        <v>3.192643955381369E-2</v>
      </c>
    </row>
    <row r="8" spans="1:18">
      <c r="A8" s="9">
        <v>45566</v>
      </c>
      <c r="B8" s="10">
        <f>Exchange!B9</f>
        <v>4224650773541</v>
      </c>
      <c r="C8" s="10">
        <f t="shared" si="0"/>
        <v>5935321532737</v>
      </c>
      <c r="D8" s="10">
        <f>Exchange!C9</f>
        <v>10159972306278</v>
      </c>
      <c r="E8" s="11">
        <f t="shared" si="1"/>
        <v>0.41581321741699284</v>
      </c>
      <c r="F8" s="13">
        <f>E24</f>
        <v>106110000000</v>
      </c>
      <c r="G8">
        <v>421030000000</v>
      </c>
      <c r="H8" s="12">
        <f t="shared" si="2"/>
        <v>2.5116868988217259E-2</v>
      </c>
      <c r="I8" s="13">
        <f t="shared" ref="I8:I11" si="8">J8-J7</f>
        <v>8210000000</v>
      </c>
      <c r="J8">
        <f>K8*$K$12</f>
        <v>14830000000</v>
      </c>
      <c r="K8">
        <v>14.83</v>
      </c>
      <c r="L8">
        <f t="shared" si="3"/>
        <v>429240000000</v>
      </c>
      <c r="M8" s="14">
        <f t="shared" si="4"/>
        <v>4.2248146654372883E-2</v>
      </c>
      <c r="N8" s="37">
        <f>N25*$K$12</f>
        <v>223000000000</v>
      </c>
      <c r="O8" s="14">
        <f t="shared" si="6"/>
        <v>5.2785428181815558E-2</v>
      </c>
      <c r="P8" s="14">
        <f t="shared" si="7"/>
        <v>2.1948878725014331E-2</v>
      </c>
      <c r="Q8">
        <f>Q25*$Q$11</f>
        <v>6790000000000</v>
      </c>
      <c r="R8" s="14">
        <f t="shared" si="5"/>
        <v>3.2842415316642122E-2</v>
      </c>
    </row>
    <row r="9" spans="1:18">
      <c r="A9" s="9">
        <v>45658</v>
      </c>
      <c r="B9" s="10">
        <f>Exchange!B10</f>
        <v>3491674737438</v>
      </c>
      <c r="C9" s="10">
        <f t="shared" si="0"/>
        <v>4832402065068</v>
      </c>
      <c r="D9" s="10">
        <f>Exchange!C10</f>
        <v>8324076802506</v>
      </c>
      <c r="E9" s="11">
        <f t="shared" si="1"/>
        <v>0.41946690549356969</v>
      </c>
      <c r="F9" s="13">
        <f>E25</f>
        <v>224970000000</v>
      </c>
      <c r="G9">
        <v>646000000000</v>
      </c>
      <c r="H9" s="12">
        <f t="shared" si="2"/>
        <v>6.4430399999133567E-2</v>
      </c>
      <c r="I9" s="13">
        <f t="shared" si="8"/>
        <v>27350000000</v>
      </c>
      <c r="J9">
        <f>K9*$K$12</f>
        <v>42180000000</v>
      </c>
      <c r="K9">
        <v>42.18</v>
      </c>
      <c r="L9">
        <f t="shared" si="3"/>
        <v>673350000000</v>
      </c>
      <c r="M9" s="14">
        <f t="shared" si="4"/>
        <v>8.0891853352108065E-2</v>
      </c>
      <c r="N9" s="37">
        <f>N26*$K$12</f>
        <v>194000000000</v>
      </c>
      <c r="O9" s="14">
        <f t="shared" si="6"/>
        <v>5.5560730763354722E-2</v>
      </c>
      <c r="P9" s="14">
        <f>N9/D9</f>
        <v>2.3305887800265785E-2</v>
      </c>
      <c r="Q9">
        <f>Q26*$Q$11</f>
        <v>5540000000000</v>
      </c>
      <c r="R9" s="14">
        <f>N9/Q9</f>
        <v>3.5018050541516244E-2</v>
      </c>
    </row>
    <row r="10" spans="1:18">
      <c r="A10" s="9">
        <v>45748</v>
      </c>
      <c r="B10" s="10">
        <f>Exchange!B11</f>
        <v>2444943062485</v>
      </c>
      <c r="C10" s="10">
        <f t="shared" si="0"/>
        <v>4079201802443</v>
      </c>
      <c r="D10" s="10">
        <f>Exchange!C11</f>
        <v>6524144864928</v>
      </c>
      <c r="E10" s="11">
        <f t="shared" si="1"/>
        <v>0.37475303094944112</v>
      </c>
      <c r="F10" s="13">
        <f>E26</f>
        <v>191280000000</v>
      </c>
      <c r="G10">
        <v>837280000000</v>
      </c>
      <c r="H10" s="12">
        <f t="shared" si="2"/>
        <v>7.8234950717251533E-2</v>
      </c>
      <c r="I10" s="13">
        <f t="shared" si="8"/>
        <v>22410000000</v>
      </c>
      <c r="J10">
        <f>K10*$K$12</f>
        <v>64590000000</v>
      </c>
      <c r="K10">
        <v>64.59</v>
      </c>
      <c r="L10">
        <f t="shared" si="3"/>
        <v>859690000000</v>
      </c>
      <c r="M10" s="14">
        <f t="shared" si="4"/>
        <v>0.13177052591542776</v>
      </c>
      <c r="N10" s="37">
        <f>N27*$K$12</f>
        <v>198000000000</v>
      </c>
      <c r="O10" s="14">
        <f t="shared" si="6"/>
        <v>8.0983480980843806E-2</v>
      </c>
      <c r="P10" s="14">
        <f t="shared" si="7"/>
        <v>3.0348804954407633E-2</v>
      </c>
      <c r="Q10">
        <f>Q27*$Q$11</f>
        <v>3820000000000</v>
      </c>
      <c r="R10" s="14">
        <f t="shared" ref="R10" si="9">N10/Q10</f>
        <v>5.1832460732984295E-2</v>
      </c>
    </row>
    <row r="11" spans="1:18">
      <c r="A11" s="28">
        <v>45839</v>
      </c>
      <c r="B11" s="29">
        <f>Exchange!B12</f>
        <v>300449662573</v>
      </c>
      <c r="C11" s="29">
        <f t="shared" si="0"/>
        <v>474014875439</v>
      </c>
      <c r="D11" s="29">
        <f>Exchange!C12</f>
        <v>774464538012</v>
      </c>
      <c r="E11" s="30">
        <f t="shared" si="1"/>
        <v>0.38794502243347989</v>
      </c>
      <c r="F11" s="34">
        <f>E27</f>
        <v>202720000000</v>
      </c>
      <c r="G11" s="32">
        <v>1040000000000</v>
      </c>
      <c r="H11" s="32"/>
      <c r="I11" s="31">
        <f t="shared" si="8"/>
        <v>26760000000</v>
      </c>
      <c r="J11" s="32">
        <f>K11*$K$12</f>
        <v>91350000000</v>
      </c>
      <c r="K11" s="32">
        <v>91.35</v>
      </c>
      <c r="L11" s="32">
        <f t="shared" si="3"/>
        <v>1066760000000</v>
      </c>
      <c r="M11" s="33">
        <f t="shared" si="4"/>
        <v>1.3774161987304201</v>
      </c>
      <c r="Q11">
        <v>1000000000000</v>
      </c>
    </row>
    <row r="12" spans="1:18">
      <c r="K12">
        <v>1000000000</v>
      </c>
    </row>
    <row r="19" spans="1:17">
      <c r="A19" s="9">
        <v>45108</v>
      </c>
    </row>
    <row r="20" spans="1:17">
      <c r="A20" s="9">
        <v>45200</v>
      </c>
      <c r="Q20">
        <v>1.2130000000000001</v>
      </c>
    </row>
    <row r="21" spans="1:17">
      <c r="A21" s="9">
        <v>45292</v>
      </c>
      <c r="E21">
        <f>G5-G4</f>
        <v>7690000000</v>
      </c>
      <c r="F21">
        <v>7690000000</v>
      </c>
      <c r="Q21">
        <v>2.42</v>
      </c>
    </row>
    <row r="22" spans="1:17">
      <c r="A22" s="9">
        <v>45383</v>
      </c>
      <c r="E22">
        <f>G6-G5</f>
        <v>176940000000</v>
      </c>
      <c r="F22">
        <v>176940000000</v>
      </c>
      <c r="Q22">
        <v>4.78</v>
      </c>
    </row>
    <row r="23" spans="1:17">
      <c r="A23" s="9">
        <v>45474</v>
      </c>
      <c r="E23">
        <f>G7-G6</f>
        <v>130290000000</v>
      </c>
      <c r="F23">
        <v>130290000000</v>
      </c>
      <c r="N23" s="35">
        <v>71.72</v>
      </c>
      <c r="Q23">
        <v>3.92</v>
      </c>
    </row>
    <row r="24" spans="1:17">
      <c r="A24" s="9">
        <v>45566</v>
      </c>
      <c r="E24">
        <f>G8-G7</f>
        <v>106110000000</v>
      </c>
      <c r="F24">
        <v>106110000000</v>
      </c>
      <c r="N24" s="35">
        <v>105.9</v>
      </c>
      <c r="Q24">
        <v>3.3170000000000002</v>
      </c>
    </row>
    <row r="25" spans="1:17">
      <c r="A25" s="9">
        <v>45658</v>
      </c>
      <c r="E25">
        <f>G9-G8</f>
        <v>224970000000</v>
      </c>
      <c r="F25">
        <v>224970000000</v>
      </c>
      <c r="N25" s="35">
        <v>223</v>
      </c>
      <c r="Q25">
        <v>6.79</v>
      </c>
    </row>
    <row r="26" spans="1:17">
      <c r="A26" s="9">
        <v>45748</v>
      </c>
      <c r="E26">
        <f>G10-G9</f>
        <v>191280000000</v>
      </c>
      <c r="F26">
        <v>191280000000</v>
      </c>
      <c r="N26" s="35">
        <v>194</v>
      </c>
      <c r="Q26">
        <v>5.54</v>
      </c>
    </row>
    <row r="27" spans="1:17">
      <c r="A27" s="9">
        <v>45839</v>
      </c>
      <c r="E27">
        <f>G11-G10</f>
        <v>202720000000</v>
      </c>
      <c r="N27" s="35">
        <v>198</v>
      </c>
      <c r="Q27">
        <v>3.82</v>
      </c>
    </row>
    <row r="28" spans="1:17">
      <c r="N28" s="35" t="s">
        <v>190</v>
      </c>
    </row>
    <row r="36" spans="1:10" ht="30">
      <c r="A36" s="8" t="s">
        <v>29</v>
      </c>
      <c r="B36" s="8" t="s">
        <v>6</v>
      </c>
      <c r="C36" s="8" t="s">
        <v>35</v>
      </c>
      <c r="D36" s="8"/>
      <c r="E36" s="8" t="s">
        <v>36</v>
      </c>
      <c r="F36" s="8" t="s">
        <v>37</v>
      </c>
      <c r="G36" s="8" t="s">
        <v>38</v>
      </c>
      <c r="H36" s="8" t="s">
        <v>179</v>
      </c>
      <c r="J36" s="8" t="s">
        <v>180</v>
      </c>
    </row>
    <row r="37" spans="1:10">
      <c r="A37" s="9">
        <v>45292</v>
      </c>
      <c r="B37" s="10">
        <v>301439233806</v>
      </c>
      <c r="C37" s="10">
        <v>104476290281</v>
      </c>
      <c r="D37" s="10"/>
      <c r="E37" s="10">
        <v>7088193395</v>
      </c>
      <c r="F37" s="10">
        <v>5709846866</v>
      </c>
      <c r="G37" s="10">
        <v>17750000000</v>
      </c>
      <c r="H37" s="10">
        <f>F5</f>
        <v>7690000000</v>
      </c>
    </row>
    <row r="38" spans="1:10">
      <c r="A38" s="9">
        <v>45383</v>
      </c>
      <c r="B38" s="10">
        <v>217603673825</v>
      </c>
      <c r="C38" s="10">
        <v>71162990463</v>
      </c>
      <c r="D38" s="10"/>
      <c r="E38" s="10">
        <v>6102184978</v>
      </c>
      <c r="F38" s="10">
        <v>7501134872</v>
      </c>
      <c r="G38" s="10">
        <v>21500000000</v>
      </c>
      <c r="H38" s="10">
        <f t="shared" ref="H38:H42" si="10">F6</f>
        <v>176940000000</v>
      </c>
    </row>
    <row r="39" spans="1:10">
      <c r="A39" s="9">
        <v>45474</v>
      </c>
      <c r="B39" s="10">
        <v>180044297955</v>
      </c>
      <c r="C39" s="10">
        <v>60932580909</v>
      </c>
      <c r="D39" s="10"/>
      <c r="E39" s="10">
        <v>5615364348</v>
      </c>
      <c r="F39" s="10">
        <v>7265082391</v>
      </c>
      <c r="G39" s="10">
        <v>14400000000</v>
      </c>
      <c r="H39" s="10">
        <f t="shared" si="10"/>
        <v>130290000000</v>
      </c>
    </row>
    <row r="40" spans="1:10">
      <c r="A40" s="9">
        <v>45566</v>
      </c>
      <c r="B40" s="10">
        <v>438326766278</v>
      </c>
      <c r="C40" s="10">
        <v>127032858600</v>
      </c>
      <c r="D40" s="10"/>
      <c r="E40" s="10">
        <v>13859096144</v>
      </c>
      <c r="F40" s="10">
        <v>9344414176</v>
      </c>
      <c r="G40" s="10">
        <v>71000000000</v>
      </c>
      <c r="H40" s="10">
        <f t="shared" si="10"/>
        <v>106110000000</v>
      </c>
    </row>
    <row r="41" spans="1:10">
      <c r="A41" s="9">
        <v>45658</v>
      </c>
      <c r="B41" s="10">
        <v>387789140611</v>
      </c>
      <c r="C41" s="10">
        <v>116139474265</v>
      </c>
      <c r="D41" s="10"/>
      <c r="E41" s="10">
        <v>12837127289</v>
      </c>
      <c r="F41" s="10">
        <v>9002417938</v>
      </c>
      <c r="G41" s="10">
        <v>46000000000</v>
      </c>
      <c r="H41" s="10">
        <f t="shared" si="10"/>
        <v>224970000000</v>
      </c>
      <c r="I41" s="14">
        <f>G41/SUM(H41,G41,F41,E41,C41,B41)</f>
        <v>5.7735404557569141E-2</v>
      </c>
    </row>
    <row r="42" spans="1:10">
      <c r="A42" s="9">
        <v>45748</v>
      </c>
      <c r="B42" s="10">
        <v>226072927981</v>
      </c>
      <c r="C42" s="10">
        <v>94124505869</v>
      </c>
      <c r="D42" s="10"/>
      <c r="E42" s="10">
        <v>17905669673</v>
      </c>
      <c r="F42" s="10">
        <v>7194082446</v>
      </c>
      <c r="G42" t="s">
        <v>39</v>
      </c>
      <c r="H42" s="10">
        <f t="shared" si="10"/>
        <v>191280000000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A619-B0BE-4974-A1F1-99EF8BC393AD}">
  <dimension ref="A1:D12"/>
  <sheetViews>
    <sheetView workbookViewId="0">
      <selection activeCell="B12" sqref="B12"/>
    </sheetView>
  </sheetViews>
  <sheetFormatPr defaultRowHeight="18.5"/>
  <cols>
    <col min="1" max="1" width="9.83203125" style="23" bestFit="1" customWidth="1"/>
    <col min="2" max="2" width="20.08203125" bestFit="1" customWidth="1"/>
    <col min="3" max="3" width="21.25" bestFit="1" customWidth="1"/>
    <col min="4" max="4" width="7.83203125" bestFit="1" customWidth="1"/>
  </cols>
  <sheetData>
    <row r="1" spans="1:4" ht="30">
      <c r="A1" s="24" t="s">
        <v>177</v>
      </c>
      <c r="B1" s="24" t="s">
        <v>186</v>
      </c>
      <c r="C1" s="24" t="s">
        <v>187</v>
      </c>
      <c r="D1" s="24" t="s">
        <v>188</v>
      </c>
    </row>
    <row r="2" spans="1:4" ht="15">
      <c r="A2" s="25">
        <v>44927</v>
      </c>
      <c r="B2" s="26">
        <v>2378799272909</v>
      </c>
      <c r="C2" s="26">
        <v>3380467174102</v>
      </c>
      <c r="D2" s="27">
        <v>0.70399999999999996</v>
      </c>
    </row>
    <row r="3" spans="1:4" ht="15">
      <c r="A3" s="25">
        <v>45017</v>
      </c>
      <c r="B3" s="26">
        <v>1133085766109</v>
      </c>
      <c r="C3" s="26">
        <v>1944014301976</v>
      </c>
      <c r="D3" s="27">
        <v>0.58299999999999996</v>
      </c>
    </row>
    <row r="4" spans="1:4" ht="15">
      <c r="A4" s="25">
        <v>45108</v>
      </c>
      <c r="B4" s="26">
        <v>778247435480</v>
      </c>
      <c r="C4" s="26">
        <v>1462547793918</v>
      </c>
      <c r="D4" s="27">
        <v>0.53200000000000003</v>
      </c>
    </row>
    <row r="5" spans="1:4" ht="15">
      <c r="A5" s="25">
        <v>45200</v>
      </c>
      <c r="B5" s="26">
        <v>1487101330221</v>
      </c>
      <c r="C5" s="26">
        <v>2879328755645</v>
      </c>
      <c r="D5" s="27">
        <v>0.51600000000000001</v>
      </c>
    </row>
    <row r="6" spans="1:4" ht="15">
      <c r="A6" s="25">
        <v>45292</v>
      </c>
      <c r="B6" s="26">
        <v>3313730724690</v>
      </c>
      <c r="C6" s="26">
        <v>6258118503934</v>
      </c>
      <c r="D6" s="27">
        <v>0.53</v>
      </c>
    </row>
    <row r="7" spans="1:4" ht="15">
      <c r="A7" s="25">
        <v>45383</v>
      </c>
      <c r="B7" s="26">
        <v>2889366004478</v>
      </c>
      <c r="C7" s="26">
        <v>5591717769464</v>
      </c>
      <c r="D7" s="27">
        <v>0.51700000000000002</v>
      </c>
    </row>
    <row r="8" spans="1:4" ht="15">
      <c r="A8" s="25">
        <v>45474</v>
      </c>
      <c r="B8" s="26">
        <v>2286013728990</v>
      </c>
      <c r="C8" s="26">
        <v>5057902228303</v>
      </c>
      <c r="D8" s="27">
        <v>0.45200000000000001</v>
      </c>
    </row>
    <row r="9" spans="1:4" ht="15">
      <c r="A9" s="25">
        <v>45566</v>
      </c>
      <c r="B9" s="26">
        <v>4224650773541</v>
      </c>
      <c r="C9" s="26">
        <v>10159972306278</v>
      </c>
      <c r="D9" s="27">
        <v>0.41599999999999998</v>
      </c>
    </row>
    <row r="10" spans="1:4" ht="15">
      <c r="A10" s="25">
        <v>45658</v>
      </c>
      <c r="B10" s="26">
        <v>3491674737438</v>
      </c>
      <c r="C10" s="26">
        <v>8324076802506</v>
      </c>
      <c r="D10" s="27">
        <v>0.41899999999999998</v>
      </c>
    </row>
    <row r="11" spans="1:4" ht="15">
      <c r="A11" s="25">
        <v>45748</v>
      </c>
      <c r="B11" s="26">
        <v>2444943062485</v>
      </c>
      <c r="C11" s="26">
        <v>6524144864928</v>
      </c>
      <c r="D11" s="27">
        <v>0.375</v>
      </c>
    </row>
    <row r="12" spans="1:4" ht="15">
      <c r="A12" s="25">
        <v>45839</v>
      </c>
      <c r="B12" s="26">
        <v>300449662573</v>
      </c>
      <c r="C12" s="26">
        <v>774464538012</v>
      </c>
      <c r="D12" s="27">
        <v>0.38800000000000001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A0D03-5C97-49FB-95DC-4316412A9F99}">
  <dimension ref="A1:B1567"/>
  <sheetViews>
    <sheetView workbookViewId="0">
      <selection activeCell="B1" sqref="B1"/>
    </sheetView>
  </sheetViews>
  <sheetFormatPr defaultRowHeight="15"/>
  <cols>
    <col min="1" max="1" width="13.83203125" bestFit="1" customWidth="1"/>
    <col min="2" max="2" width="5.83203125" bestFit="1" customWidth="1"/>
  </cols>
  <sheetData>
    <row r="1" spans="1:2" ht="15.5" thickBot="1">
      <c r="A1" s="20" t="s">
        <v>177</v>
      </c>
      <c r="B1" s="20" t="s">
        <v>178</v>
      </c>
    </row>
    <row r="2" spans="1:2" ht="15.5" thickBot="1">
      <c r="A2" s="21">
        <v>44300.666666666664</v>
      </c>
      <c r="B2" s="22">
        <v>328.28</v>
      </c>
    </row>
    <row r="3" spans="1:2" ht="15.5" thickBot="1">
      <c r="A3" s="21">
        <v>44301.666666666664</v>
      </c>
      <c r="B3" s="22">
        <v>322.75</v>
      </c>
    </row>
    <row r="4" spans="1:2" ht="15.5" thickBot="1">
      <c r="A4" s="21">
        <v>44302.666666666664</v>
      </c>
      <c r="B4" s="22">
        <v>342</v>
      </c>
    </row>
    <row r="5" spans="1:2" ht="15.5" thickBot="1">
      <c r="A5" s="21">
        <v>44305.666666666664</v>
      </c>
      <c r="B5" s="22">
        <v>333</v>
      </c>
    </row>
    <row r="6" spans="1:2" ht="15.5" thickBot="1">
      <c r="A6" s="21">
        <v>44306.666666666664</v>
      </c>
      <c r="B6" s="22">
        <v>320.82</v>
      </c>
    </row>
    <row r="7" spans="1:2" ht="15.5" thickBot="1">
      <c r="A7" s="21">
        <v>44307.666666666664</v>
      </c>
      <c r="B7" s="22">
        <v>311.92</v>
      </c>
    </row>
    <row r="8" spans="1:2" ht="15.5" thickBot="1">
      <c r="A8" s="21">
        <v>44308.666666666664</v>
      </c>
      <c r="B8" s="22">
        <v>293.45</v>
      </c>
    </row>
    <row r="9" spans="1:2" ht="15.5" thickBot="1">
      <c r="A9" s="21">
        <v>44309.666666666664</v>
      </c>
      <c r="B9" s="22">
        <v>291.60000000000002</v>
      </c>
    </row>
    <row r="10" spans="1:2" ht="15.5" thickBot="1">
      <c r="A10" s="21">
        <v>44312.666666666664</v>
      </c>
      <c r="B10" s="22">
        <v>304.54000000000002</v>
      </c>
    </row>
    <row r="11" spans="1:2" ht="15.5" thickBot="1">
      <c r="A11" s="21">
        <v>44313.666666666664</v>
      </c>
      <c r="B11" s="22">
        <v>302</v>
      </c>
    </row>
    <row r="12" spans="1:2" ht="15.5" thickBot="1">
      <c r="A12" s="21">
        <v>44314.666666666664</v>
      </c>
      <c r="B12" s="22">
        <v>298.05</v>
      </c>
    </row>
    <row r="13" spans="1:2" ht="15.5" thickBot="1">
      <c r="A13" s="21">
        <v>44315.666666666664</v>
      </c>
      <c r="B13" s="22">
        <v>294.77</v>
      </c>
    </row>
    <row r="14" spans="1:2" ht="15.5" thickBot="1">
      <c r="A14" s="21">
        <v>44316.666666666664</v>
      </c>
      <c r="B14" s="22">
        <v>297.64</v>
      </c>
    </row>
    <row r="15" spans="1:2" ht="15.5" thickBot="1">
      <c r="A15" s="21">
        <v>44319.666666666664</v>
      </c>
      <c r="B15" s="22">
        <v>294.20999999999998</v>
      </c>
    </row>
    <row r="16" spans="1:2" ht="15.5" thickBot="1">
      <c r="A16" s="21">
        <v>44320.666666666664</v>
      </c>
      <c r="B16" s="22">
        <v>280.66000000000003</v>
      </c>
    </row>
    <row r="17" spans="1:2" ht="15.5" thickBot="1">
      <c r="A17" s="21">
        <v>44321.666666666664</v>
      </c>
      <c r="B17" s="22">
        <v>273</v>
      </c>
    </row>
    <row r="18" spans="1:2" ht="15.5" thickBot="1">
      <c r="A18" s="21">
        <v>44322.666666666664</v>
      </c>
      <c r="B18" s="22">
        <v>256.76</v>
      </c>
    </row>
    <row r="19" spans="1:2" ht="15.5" thickBot="1">
      <c r="A19" s="21">
        <v>44323.666666666664</v>
      </c>
      <c r="B19" s="22">
        <v>263.7</v>
      </c>
    </row>
    <row r="20" spans="1:2" ht="15.5" thickBot="1">
      <c r="A20" s="21">
        <v>44326.666666666664</v>
      </c>
      <c r="B20" s="22">
        <v>293.45</v>
      </c>
    </row>
    <row r="21" spans="1:2" ht="15.5" thickBot="1">
      <c r="A21" s="21">
        <v>44327.666666666664</v>
      </c>
      <c r="B21" s="22">
        <v>303</v>
      </c>
    </row>
    <row r="22" spans="1:2" ht="15.5" thickBot="1">
      <c r="A22" s="21">
        <v>44328.666666666664</v>
      </c>
      <c r="B22" s="22">
        <v>283.61</v>
      </c>
    </row>
    <row r="23" spans="1:2" ht="15.5" thickBot="1">
      <c r="A23" s="21">
        <v>44329.666666666664</v>
      </c>
      <c r="B23" s="22">
        <v>265.10000000000002</v>
      </c>
    </row>
    <row r="24" spans="1:2" ht="15.5" thickBot="1">
      <c r="A24" s="21">
        <v>44330.666666666664</v>
      </c>
      <c r="B24" s="22">
        <v>258.37</v>
      </c>
    </row>
    <row r="25" spans="1:2" ht="15.5" thickBot="1">
      <c r="A25" s="21">
        <v>44333.666666666664</v>
      </c>
      <c r="B25" s="22">
        <v>248.24</v>
      </c>
    </row>
    <row r="26" spans="1:2" ht="15.5" thickBot="1">
      <c r="A26" s="21">
        <v>44334.666666666664</v>
      </c>
      <c r="B26" s="22">
        <v>239</v>
      </c>
    </row>
    <row r="27" spans="1:2" ht="15.5" thickBot="1">
      <c r="A27" s="21">
        <v>44335.666666666664</v>
      </c>
      <c r="B27" s="22">
        <v>224.8</v>
      </c>
    </row>
    <row r="28" spans="1:2" ht="15.5" thickBot="1">
      <c r="A28" s="21">
        <v>44336.666666666664</v>
      </c>
      <c r="B28" s="22">
        <v>233.4</v>
      </c>
    </row>
    <row r="29" spans="1:2" ht="15.5" thickBot="1">
      <c r="A29" s="21">
        <v>44337.666666666664</v>
      </c>
      <c r="B29" s="22">
        <v>224.35</v>
      </c>
    </row>
    <row r="30" spans="1:2" ht="15.5" thickBot="1">
      <c r="A30" s="21">
        <v>44340.666666666664</v>
      </c>
      <c r="B30" s="22">
        <v>225.3</v>
      </c>
    </row>
    <row r="31" spans="1:2" ht="15.5" thickBot="1">
      <c r="A31" s="21">
        <v>44341.666666666664</v>
      </c>
      <c r="B31" s="22">
        <v>242.41</v>
      </c>
    </row>
    <row r="32" spans="1:2" ht="15.5" thickBot="1">
      <c r="A32" s="21">
        <v>44342.666666666664</v>
      </c>
      <c r="B32" s="22">
        <v>241.52</v>
      </c>
    </row>
    <row r="33" spans="1:2" ht="15.5" thickBot="1">
      <c r="A33" s="21">
        <v>44343.666666666664</v>
      </c>
      <c r="B33" s="22">
        <v>247.09</v>
      </c>
    </row>
    <row r="34" spans="1:2" ht="15.5" thickBot="1">
      <c r="A34" s="21">
        <v>44344.666666666664</v>
      </c>
      <c r="B34" s="22">
        <v>236.54</v>
      </c>
    </row>
    <row r="35" spans="1:2" ht="15.5" thickBot="1">
      <c r="A35" s="21">
        <v>44348.666666666664</v>
      </c>
      <c r="B35" s="22">
        <v>238.93</v>
      </c>
    </row>
    <row r="36" spans="1:2" ht="15.5" thickBot="1">
      <c r="A36" s="21">
        <v>44349.666666666664</v>
      </c>
      <c r="B36" s="22">
        <v>240.48</v>
      </c>
    </row>
    <row r="37" spans="1:2" ht="15.5" thickBot="1">
      <c r="A37" s="21">
        <v>44350.666666666664</v>
      </c>
      <c r="B37" s="22">
        <v>233.66</v>
      </c>
    </row>
    <row r="38" spans="1:2" ht="15.5" thickBot="1">
      <c r="A38" s="21">
        <v>44351.666666666664</v>
      </c>
      <c r="B38" s="22">
        <v>228.79</v>
      </c>
    </row>
    <row r="39" spans="1:2" ht="15.5" thickBot="1">
      <c r="A39" s="21">
        <v>44354.666666666664</v>
      </c>
      <c r="B39" s="22">
        <v>231.45</v>
      </c>
    </row>
    <row r="40" spans="1:2" ht="15.5" thickBot="1">
      <c r="A40" s="21">
        <v>44355.666666666664</v>
      </c>
      <c r="B40" s="22">
        <v>220.66</v>
      </c>
    </row>
    <row r="41" spans="1:2" ht="15.5" thickBot="1">
      <c r="A41" s="21">
        <v>44356.666666666664</v>
      </c>
      <c r="B41" s="22">
        <v>224.32</v>
      </c>
    </row>
    <row r="42" spans="1:2" ht="15.5" thickBot="1">
      <c r="A42" s="21">
        <v>44357.666666666664</v>
      </c>
      <c r="B42" s="22">
        <v>221.85</v>
      </c>
    </row>
    <row r="43" spans="1:2" ht="15.5" thickBot="1">
      <c r="A43" s="21">
        <v>44358.666666666664</v>
      </c>
      <c r="B43" s="22">
        <v>223.92</v>
      </c>
    </row>
    <row r="44" spans="1:2" ht="15.5" thickBot="1">
      <c r="A44" s="21">
        <v>44361.666666666664</v>
      </c>
      <c r="B44" s="22">
        <v>239.1</v>
      </c>
    </row>
    <row r="45" spans="1:2" ht="15.5" thickBot="1">
      <c r="A45" s="21">
        <v>44362.666666666664</v>
      </c>
      <c r="B45" s="22">
        <v>232.21</v>
      </c>
    </row>
    <row r="46" spans="1:2" ht="15.5" thickBot="1">
      <c r="A46" s="21">
        <v>44363.666666666664</v>
      </c>
      <c r="B46" s="22">
        <v>228.05</v>
      </c>
    </row>
    <row r="47" spans="1:2" ht="15.5" thickBot="1">
      <c r="A47" s="21">
        <v>44364.666666666664</v>
      </c>
      <c r="B47" s="22">
        <v>230.66</v>
      </c>
    </row>
    <row r="48" spans="1:2" ht="15.5" thickBot="1">
      <c r="A48" s="21">
        <v>44365.666666666664</v>
      </c>
      <c r="B48" s="22">
        <v>229.29</v>
      </c>
    </row>
    <row r="49" spans="1:2" ht="15.5" thickBot="1">
      <c r="A49" s="21">
        <v>44368.666666666664</v>
      </c>
      <c r="B49" s="22">
        <v>222.6</v>
      </c>
    </row>
    <row r="50" spans="1:2" ht="15.5" thickBot="1">
      <c r="A50" s="21">
        <v>44369.666666666664</v>
      </c>
      <c r="B50" s="22">
        <v>222.47</v>
      </c>
    </row>
    <row r="51" spans="1:2" ht="15.5" thickBot="1">
      <c r="A51" s="21">
        <v>44370.666666666664</v>
      </c>
      <c r="B51" s="22">
        <v>226.01</v>
      </c>
    </row>
    <row r="52" spans="1:2" ht="15.5" thickBot="1">
      <c r="A52" s="21">
        <v>44371.666666666664</v>
      </c>
      <c r="B52" s="22">
        <v>229.93</v>
      </c>
    </row>
    <row r="53" spans="1:2" ht="15.5" thickBot="1">
      <c r="A53" s="21">
        <v>44372.666666666664</v>
      </c>
      <c r="B53" s="22">
        <v>224.54</v>
      </c>
    </row>
    <row r="54" spans="1:2" ht="15.5" thickBot="1">
      <c r="A54" s="21">
        <v>44375.666666666664</v>
      </c>
      <c r="B54" s="22">
        <v>246.69</v>
      </c>
    </row>
    <row r="55" spans="1:2" ht="15.5" thickBot="1">
      <c r="A55" s="21">
        <v>44376.666666666664</v>
      </c>
      <c r="B55" s="22">
        <v>254.9</v>
      </c>
    </row>
    <row r="56" spans="1:2" ht="15.5" thickBot="1">
      <c r="A56" s="21">
        <v>44377.666666666664</v>
      </c>
      <c r="B56" s="22">
        <v>253.3</v>
      </c>
    </row>
    <row r="57" spans="1:2" ht="15.5" thickBot="1">
      <c r="A57" s="21">
        <v>44378.666666666664</v>
      </c>
      <c r="B57" s="22">
        <v>241.44</v>
      </c>
    </row>
    <row r="58" spans="1:2" ht="15.5" thickBot="1">
      <c r="A58" s="21">
        <v>44379.666666666664</v>
      </c>
      <c r="B58" s="22">
        <v>240.72</v>
      </c>
    </row>
    <row r="59" spans="1:2" ht="15.5" thickBot="1">
      <c r="A59" s="21">
        <v>44383.666666666664</v>
      </c>
      <c r="B59" s="22">
        <v>235.41</v>
      </c>
    </row>
    <row r="60" spans="1:2" ht="15.5" thickBot="1">
      <c r="A60" s="21">
        <v>44384.666666666664</v>
      </c>
      <c r="B60" s="22">
        <v>251.97</v>
      </c>
    </row>
    <row r="61" spans="1:2" ht="15.5" thickBot="1">
      <c r="A61" s="21">
        <v>44385.666666666664</v>
      </c>
      <c r="B61" s="22">
        <v>244.29</v>
      </c>
    </row>
    <row r="62" spans="1:2" ht="15.5" thickBot="1">
      <c r="A62" s="21">
        <v>44386.666666666664</v>
      </c>
      <c r="B62" s="22">
        <v>253.88</v>
      </c>
    </row>
    <row r="63" spans="1:2" ht="15.5" thickBot="1">
      <c r="A63" s="21">
        <v>44389.666666666664</v>
      </c>
      <c r="B63" s="22">
        <v>247.67</v>
      </c>
    </row>
    <row r="64" spans="1:2" ht="15.5" thickBot="1">
      <c r="A64" s="21">
        <v>44390.666666666664</v>
      </c>
      <c r="B64" s="22">
        <v>243.31</v>
      </c>
    </row>
    <row r="65" spans="1:2" ht="15.5" thickBot="1">
      <c r="A65" s="21">
        <v>44391.666666666664</v>
      </c>
      <c r="B65" s="22">
        <v>229.94</v>
      </c>
    </row>
    <row r="66" spans="1:2" ht="15.5" thickBot="1">
      <c r="A66" s="21">
        <v>44392.666666666664</v>
      </c>
      <c r="B66" s="22">
        <v>224.63</v>
      </c>
    </row>
    <row r="67" spans="1:2" ht="15.5" thickBot="1">
      <c r="A67" s="21">
        <v>44393.666666666664</v>
      </c>
      <c r="B67" s="22">
        <v>225.01</v>
      </c>
    </row>
    <row r="68" spans="1:2" ht="15.5" thickBot="1">
      <c r="A68" s="21">
        <v>44396.666666666664</v>
      </c>
      <c r="B68" s="22">
        <v>220.61</v>
      </c>
    </row>
    <row r="69" spans="1:2" ht="15.5" thickBot="1">
      <c r="A69" s="21">
        <v>44397.666666666664</v>
      </c>
      <c r="B69" s="22">
        <v>224.96</v>
      </c>
    </row>
    <row r="70" spans="1:2" ht="15.5" thickBot="1">
      <c r="A70" s="21">
        <v>44398.666666666664</v>
      </c>
      <c r="B70" s="22">
        <v>230.87</v>
      </c>
    </row>
    <row r="71" spans="1:2" ht="15.5" thickBot="1">
      <c r="A71" s="21">
        <v>44399.666666666664</v>
      </c>
      <c r="B71" s="22">
        <v>226.08</v>
      </c>
    </row>
    <row r="72" spans="1:2" ht="15.5" thickBot="1">
      <c r="A72" s="21">
        <v>44400.666666666664</v>
      </c>
      <c r="B72" s="22">
        <v>224.92</v>
      </c>
    </row>
    <row r="73" spans="1:2" ht="15.5" thickBot="1">
      <c r="A73" s="21">
        <v>44403.666666666664</v>
      </c>
      <c r="B73" s="22">
        <v>245.45</v>
      </c>
    </row>
    <row r="74" spans="1:2" ht="15.5" thickBot="1">
      <c r="A74" s="21">
        <v>44404.666666666664</v>
      </c>
      <c r="B74" s="22">
        <v>235.08</v>
      </c>
    </row>
    <row r="75" spans="1:2" ht="15.5" thickBot="1">
      <c r="A75" s="21">
        <v>44405.666666666664</v>
      </c>
      <c r="B75" s="22">
        <v>241.75</v>
      </c>
    </row>
    <row r="76" spans="1:2" ht="15.5" thickBot="1">
      <c r="A76" s="21">
        <v>44406.666666666664</v>
      </c>
      <c r="B76" s="22">
        <v>235.78</v>
      </c>
    </row>
    <row r="77" spans="1:2" ht="15.5" thickBot="1">
      <c r="A77" s="21">
        <v>44407.666666666664</v>
      </c>
      <c r="B77" s="22">
        <v>236.58</v>
      </c>
    </row>
    <row r="78" spans="1:2" ht="15.5" thickBot="1">
      <c r="A78" s="21">
        <v>44410.666666666664</v>
      </c>
      <c r="B78" s="22">
        <v>235.4</v>
      </c>
    </row>
    <row r="79" spans="1:2" ht="15.5" thickBot="1">
      <c r="A79" s="21">
        <v>44411.666666666664</v>
      </c>
      <c r="B79" s="22">
        <v>230.18</v>
      </c>
    </row>
    <row r="80" spans="1:2" ht="15.5" thickBot="1">
      <c r="A80" s="21">
        <v>44412.666666666664</v>
      </c>
      <c r="B80" s="22">
        <v>244.36</v>
      </c>
    </row>
    <row r="81" spans="1:2" ht="15.5" thickBot="1">
      <c r="A81" s="21">
        <v>44413.666666666664</v>
      </c>
      <c r="B81" s="22">
        <v>255.5</v>
      </c>
    </row>
    <row r="82" spans="1:2" ht="15.5" thickBot="1">
      <c r="A82" s="21">
        <v>44414.666666666664</v>
      </c>
      <c r="B82" s="22">
        <v>258.26</v>
      </c>
    </row>
    <row r="83" spans="1:2" ht="15.5" thickBot="1">
      <c r="A83" s="21">
        <v>44417.666666666664</v>
      </c>
      <c r="B83" s="22">
        <v>280.47000000000003</v>
      </c>
    </row>
    <row r="84" spans="1:2" ht="15.5" thickBot="1">
      <c r="A84" s="21">
        <v>44418.666666666664</v>
      </c>
      <c r="B84" s="22">
        <v>269.67</v>
      </c>
    </row>
    <row r="85" spans="1:2" ht="15.5" thickBot="1">
      <c r="A85" s="21">
        <v>44419.666666666664</v>
      </c>
      <c r="B85" s="22">
        <v>278.39999999999998</v>
      </c>
    </row>
    <row r="86" spans="1:2" ht="15.5" thickBot="1">
      <c r="A86" s="21">
        <v>44420.666666666664</v>
      </c>
      <c r="B86" s="22">
        <v>256.5</v>
      </c>
    </row>
    <row r="87" spans="1:2" ht="15.5" thickBot="1">
      <c r="A87" s="21">
        <v>44421.666666666664</v>
      </c>
      <c r="B87" s="22">
        <v>261.25</v>
      </c>
    </row>
    <row r="88" spans="1:2" ht="15.5" thickBot="1">
      <c r="A88" s="21">
        <v>44424.666666666664</v>
      </c>
      <c r="B88" s="22">
        <v>256.83</v>
      </c>
    </row>
    <row r="89" spans="1:2" ht="15.5" thickBot="1">
      <c r="A89" s="21">
        <v>44425.666666666664</v>
      </c>
      <c r="B89" s="22">
        <v>250.8</v>
      </c>
    </row>
    <row r="90" spans="1:2" ht="15.5" thickBot="1">
      <c r="A90" s="21">
        <v>44426.666666666664</v>
      </c>
      <c r="B90" s="22">
        <v>244.39</v>
      </c>
    </row>
    <row r="91" spans="1:2" ht="15.5" thickBot="1">
      <c r="A91" s="21">
        <v>44427.666666666664</v>
      </c>
      <c r="B91" s="22">
        <v>248.24</v>
      </c>
    </row>
    <row r="92" spans="1:2" ht="15.5" thickBot="1">
      <c r="A92" s="21">
        <v>44428.666666666664</v>
      </c>
      <c r="B92" s="22">
        <v>257.32</v>
      </c>
    </row>
    <row r="93" spans="1:2" ht="15.5" thickBot="1">
      <c r="A93" s="21">
        <v>44431.666666666664</v>
      </c>
      <c r="B93" s="22">
        <v>256</v>
      </c>
    </row>
    <row r="94" spans="1:2" ht="15.5" thickBot="1">
      <c r="A94" s="21">
        <v>44432.666666666664</v>
      </c>
      <c r="B94" s="22">
        <v>259.27999999999997</v>
      </c>
    </row>
    <row r="95" spans="1:2" ht="15.5" thickBot="1">
      <c r="A95" s="21">
        <v>44433.666666666664</v>
      </c>
      <c r="B95" s="22">
        <v>256.77</v>
      </c>
    </row>
    <row r="96" spans="1:2" ht="15.5" thickBot="1">
      <c r="A96" s="21">
        <v>44434.666666666664</v>
      </c>
      <c r="B96" s="22">
        <v>248.54</v>
      </c>
    </row>
    <row r="97" spans="1:2" ht="15.5" thickBot="1">
      <c r="A97" s="21">
        <v>44435.666666666664</v>
      </c>
      <c r="B97" s="22">
        <v>259.12</v>
      </c>
    </row>
    <row r="98" spans="1:2" ht="15.5" thickBot="1">
      <c r="A98" s="21">
        <v>44438.666666666664</v>
      </c>
      <c r="B98" s="22">
        <v>262.66000000000003</v>
      </c>
    </row>
    <row r="99" spans="1:2" ht="15.5" thickBot="1">
      <c r="A99" s="21">
        <v>44439.666666666664</v>
      </c>
      <c r="B99" s="22">
        <v>259</v>
      </c>
    </row>
    <row r="100" spans="1:2" ht="15.5" thickBot="1">
      <c r="A100" s="21">
        <v>44440.666666666664</v>
      </c>
      <c r="B100" s="22">
        <v>265.89999999999998</v>
      </c>
    </row>
    <row r="101" spans="1:2" ht="15.5" thickBot="1">
      <c r="A101" s="21">
        <v>44441.666666666664</v>
      </c>
      <c r="B101" s="22">
        <v>268.18</v>
      </c>
    </row>
    <row r="102" spans="1:2" ht="15.5" thickBot="1">
      <c r="A102" s="21">
        <v>44442.666666666664</v>
      </c>
      <c r="B102" s="22">
        <v>278.44</v>
      </c>
    </row>
    <row r="103" spans="1:2" ht="15.5" thickBot="1">
      <c r="A103" s="21">
        <v>44446.666666666664</v>
      </c>
      <c r="B103" s="22">
        <v>266.81</v>
      </c>
    </row>
    <row r="104" spans="1:2" ht="15.5" thickBot="1">
      <c r="A104" s="21">
        <v>44447.666666666664</v>
      </c>
      <c r="B104" s="22">
        <v>258.2</v>
      </c>
    </row>
    <row r="105" spans="1:2" ht="15.5" thickBot="1">
      <c r="A105" s="21">
        <v>44448.666666666664</v>
      </c>
      <c r="B105" s="22">
        <v>256.42</v>
      </c>
    </row>
    <row r="106" spans="1:2" ht="15.5" thickBot="1">
      <c r="A106" s="21">
        <v>44449.666666666664</v>
      </c>
      <c r="B106" s="22">
        <v>248.32</v>
      </c>
    </row>
    <row r="107" spans="1:2" ht="15.5" thickBot="1">
      <c r="A107" s="21">
        <v>44452.666666666664</v>
      </c>
      <c r="B107" s="22">
        <v>242.84</v>
      </c>
    </row>
    <row r="108" spans="1:2" ht="15.5" thickBot="1">
      <c r="A108" s="21">
        <v>44453.666666666664</v>
      </c>
      <c r="B108" s="22">
        <v>243</v>
      </c>
    </row>
    <row r="109" spans="1:2" ht="15.5" thickBot="1">
      <c r="A109" s="21">
        <v>44454.666666666664</v>
      </c>
      <c r="B109" s="22">
        <v>247.07</v>
      </c>
    </row>
    <row r="110" spans="1:2" ht="15.5" thickBot="1">
      <c r="A110" s="21">
        <v>44455.666666666664</v>
      </c>
      <c r="B110" s="22">
        <v>243.21</v>
      </c>
    </row>
    <row r="111" spans="1:2" ht="15.5" thickBot="1">
      <c r="A111" s="21">
        <v>44456.666666666664</v>
      </c>
      <c r="B111" s="22">
        <v>245.19</v>
      </c>
    </row>
    <row r="112" spans="1:2" ht="15.5" thickBot="1">
      <c r="A112" s="21">
        <v>44459.666666666664</v>
      </c>
      <c r="B112" s="22">
        <v>236.53</v>
      </c>
    </row>
    <row r="113" spans="1:2" ht="15.5" thickBot="1">
      <c r="A113" s="21">
        <v>44460.666666666664</v>
      </c>
      <c r="B113" s="22">
        <v>238.46</v>
      </c>
    </row>
    <row r="114" spans="1:2" ht="15.5" thickBot="1">
      <c r="A114" s="21">
        <v>44461.666666666664</v>
      </c>
      <c r="B114" s="22">
        <v>241.85</v>
      </c>
    </row>
    <row r="115" spans="1:2" ht="15.5" thickBot="1">
      <c r="A115" s="21">
        <v>44462.666666666664</v>
      </c>
      <c r="B115" s="22">
        <v>237.5</v>
      </c>
    </row>
    <row r="116" spans="1:2" ht="15.5" thickBot="1">
      <c r="A116" s="21">
        <v>44463.666666666664</v>
      </c>
      <c r="B116" s="22">
        <v>231.82</v>
      </c>
    </row>
    <row r="117" spans="1:2" ht="15.5" thickBot="1">
      <c r="A117" s="21">
        <v>44466.666666666664</v>
      </c>
      <c r="B117" s="22">
        <v>232.24</v>
      </c>
    </row>
    <row r="118" spans="1:2" ht="15.5" thickBot="1">
      <c r="A118" s="21">
        <v>44467.666666666664</v>
      </c>
      <c r="B118" s="22">
        <v>229.84</v>
      </c>
    </row>
    <row r="119" spans="1:2" ht="15.5" thickBot="1">
      <c r="A119" s="21">
        <v>44468.666666666664</v>
      </c>
      <c r="B119" s="22">
        <v>225.28</v>
      </c>
    </row>
    <row r="120" spans="1:2" ht="15.5" thickBot="1">
      <c r="A120" s="21">
        <v>44469.666666666664</v>
      </c>
      <c r="B120" s="22">
        <v>227.48</v>
      </c>
    </row>
    <row r="121" spans="1:2" ht="15.5" thickBot="1">
      <c r="A121" s="21">
        <v>44470.666666666664</v>
      </c>
      <c r="B121" s="22">
        <v>231.15</v>
      </c>
    </row>
    <row r="122" spans="1:2" ht="15.5" thickBot="1">
      <c r="A122" s="21">
        <v>44473.666666666664</v>
      </c>
      <c r="B122" s="22">
        <v>229.31</v>
      </c>
    </row>
    <row r="123" spans="1:2" ht="15.5" thickBot="1">
      <c r="A123" s="21">
        <v>44474.666666666664</v>
      </c>
      <c r="B123" s="22">
        <v>240.09</v>
      </c>
    </row>
    <row r="124" spans="1:2" ht="15.5" thickBot="1">
      <c r="A124" s="21">
        <v>44475.666666666664</v>
      </c>
      <c r="B124" s="22">
        <v>250.38</v>
      </c>
    </row>
    <row r="125" spans="1:2" ht="15.5" thickBot="1">
      <c r="A125" s="21">
        <v>44476.666666666664</v>
      </c>
      <c r="B125" s="22">
        <v>251.59</v>
      </c>
    </row>
    <row r="126" spans="1:2" ht="15.5" thickBot="1">
      <c r="A126" s="21">
        <v>44477.666666666664</v>
      </c>
      <c r="B126" s="22">
        <v>248.14</v>
      </c>
    </row>
    <row r="127" spans="1:2" ht="15.5" thickBot="1">
      <c r="A127" s="21">
        <v>44480.666666666664</v>
      </c>
      <c r="B127" s="22">
        <v>256.5</v>
      </c>
    </row>
    <row r="128" spans="1:2" ht="15.5" thickBot="1">
      <c r="A128" s="21">
        <v>44481.666666666664</v>
      </c>
      <c r="B128" s="22">
        <v>249.33</v>
      </c>
    </row>
    <row r="129" spans="1:2" ht="15.5" thickBot="1">
      <c r="A129" s="21">
        <v>44482.666666666664</v>
      </c>
      <c r="B129" s="22">
        <v>246.78</v>
      </c>
    </row>
    <row r="130" spans="1:2" ht="15.5" thickBot="1">
      <c r="A130" s="21">
        <v>44483.666666666664</v>
      </c>
      <c r="B130" s="22">
        <v>260</v>
      </c>
    </row>
    <row r="131" spans="1:2" ht="15.5" thickBot="1">
      <c r="A131" s="21">
        <v>44484.666666666664</v>
      </c>
      <c r="B131" s="22">
        <v>280.61</v>
      </c>
    </row>
    <row r="132" spans="1:2" ht="15.5" thickBot="1">
      <c r="A132" s="21">
        <v>44487.666666666664</v>
      </c>
      <c r="B132" s="22">
        <v>293.33999999999997</v>
      </c>
    </row>
    <row r="133" spans="1:2" ht="15.5" thickBot="1">
      <c r="A133" s="21">
        <v>44488.666666666664</v>
      </c>
      <c r="B133" s="22">
        <v>305.63</v>
      </c>
    </row>
    <row r="134" spans="1:2" ht="15.5" thickBot="1">
      <c r="A134" s="21">
        <v>44489.666666666664</v>
      </c>
      <c r="B134" s="22">
        <v>314.70999999999998</v>
      </c>
    </row>
    <row r="135" spans="1:2" ht="15.5" thickBot="1">
      <c r="A135" s="21">
        <v>44490.666666666664</v>
      </c>
      <c r="B135" s="22">
        <v>300.01</v>
      </c>
    </row>
    <row r="136" spans="1:2" ht="15.5" thickBot="1">
      <c r="A136" s="21">
        <v>44491.666666666664</v>
      </c>
      <c r="B136" s="22">
        <v>300.83999999999997</v>
      </c>
    </row>
    <row r="137" spans="1:2" ht="15.5" thickBot="1">
      <c r="A137" s="21">
        <v>44494.666666666664</v>
      </c>
      <c r="B137" s="22">
        <v>325.54000000000002</v>
      </c>
    </row>
    <row r="138" spans="1:2" ht="15.5" thickBot="1">
      <c r="A138" s="21">
        <v>44495.666666666664</v>
      </c>
      <c r="B138" s="22">
        <v>319.49</v>
      </c>
    </row>
    <row r="139" spans="1:2" ht="15.5" thickBot="1">
      <c r="A139" s="21">
        <v>44496.666666666664</v>
      </c>
      <c r="B139" s="22">
        <v>311.67</v>
      </c>
    </row>
    <row r="140" spans="1:2" ht="15.5" thickBot="1">
      <c r="A140" s="21">
        <v>44497.666666666664</v>
      </c>
      <c r="B140" s="22">
        <v>319.13</v>
      </c>
    </row>
    <row r="141" spans="1:2" ht="15.5" thickBot="1">
      <c r="A141" s="21">
        <v>44498.666666666664</v>
      </c>
      <c r="B141" s="22">
        <v>319.42</v>
      </c>
    </row>
    <row r="142" spans="1:2" ht="15.5" thickBot="1">
      <c r="A142" s="21">
        <v>44501.666666666664</v>
      </c>
      <c r="B142" s="22">
        <v>330.99</v>
      </c>
    </row>
    <row r="143" spans="1:2" ht="15.5" thickBot="1">
      <c r="A143" s="21">
        <v>44502.666666666664</v>
      </c>
      <c r="B143" s="22">
        <v>336.34</v>
      </c>
    </row>
    <row r="144" spans="1:2" ht="15.5" thickBot="1">
      <c r="A144" s="21">
        <v>44503.666666666664</v>
      </c>
      <c r="B144" s="22">
        <v>344.38</v>
      </c>
    </row>
    <row r="145" spans="1:2" ht="15.5" thickBot="1">
      <c r="A145" s="21">
        <v>44504.666666666664</v>
      </c>
      <c r="B145" s="22">
        <v>344.45</v>
      </c>
    </row>
    <row r="146" spans="1:2" ht="15.5" thickBot="1">
      <c r="A146" s="21">
        <v>44505.666666666664</v>
      </c>
      <c r="B146" s="22">
        <v>337.05</v>
      </c>
    </row>
    <row r="147" spans="1:2" ht="15.5" thickBot="1">
      <c r="A147" s="21">
        <v>44508.666666666664</v>
      </c>
      <c r="B147" s="22">
        <v>353.92</v>
      </c>
    </row>
    <row r="148" spans="1:2" ht="15.5" thickBot="1">
      <c r="A148" s="21">
        <v>44509.666666666664</v>
      </c>
      <c r="B148" s="22">
        <v>357.39</v>
      </c>
    </row>
    <row r="149" spans="1:2" ht="15.5" thickBot="1">
      <c r="A149" s="21">
        <v>44510.666666666664</v>
      </c>
      <c r="B149" s="22">
        <v>328.6</v>
      </c>
    </row>
    <row r="150" spans="1:2" ht="15.5" thickBot="1">
      <c r="A150" s="21">
        <v>44511.666666666664</v>
      </c>
      <c r="B150" s="22">
        <v>336.39</v>
      </c>
    </row>
    <row r="151" spans="1:2" ht="15.5" thickBot="1">
      <c r="A151" s="21">
        <v>44512.666666666664</v>
      </c>
      <c r="B151" s="22">
        <v>342.98</v>
      </c>
    </row>
    <row r="152" spans="1:2" ht="15.5" thickBot="1">
      <c r="A152" s="21">
        <v>44515.666666666664</v>
      </c>
      <c r="B152" s="22">
        <v>345.36</v>
      </c>
    </row>
    <row r="153" spans="1:2" ht="15.5" thickBot="1">
      <c r="A153" s="21">
        <v>44516.666666666664</v>
      </c>
      <c r="B153" s="22">
        <v>342.12</v>
      </c>
    </row>
    <row r="154" spans="1:2" ht="15.5" thickBot="1">
      <c r="A154" s="21">
        <v>44517.666666666664</v>
      </c>
      <c r="B154" s="22">
        <v>346.52</v>
      </c>
    </row>
    <row r="155" spans="1:2" ht="15.5" thickBot="1">
      <c r="A155" s="21">
        <v>44518.666666666664</v>
      </c>
      <c r="B155" s="22">
        <v>323.57</v>
      </c>
    </row>
    <row r="156" spans="1:2" ht="15.5" thickBot="1">
      <c r="A156" s="21">
        <v>44519.666666666664</v>
      </c>
      <c r="B156" s="22">
        <v>332.55</v>
      </c>
    </row>
    <row r="157" spans="1:2" ht="15.5" thickBot="1">
      <c r="A157" s="21">
        <v>44522.666666666664</v>
      </c>
      <c r="B157" s="22">
        <v>315.48</v>
      </c>
    </row>
    <row r="158" spans="1:2" ht="15.5" thickBot="1">
      <c r="A158" s="21">
        <v>44523.666666666664</v>
      </c>
      <c r="B158" s="22">
        <v>317.2</v>
      </c>
    </row>
    <row r="159" spans="1:2" ht="15.5" thickBot="1">
      <c r="A159" s="21">
        <v>44524.666666666664</v>
      </c>
      <c r="B159" s="22">
        <v>312.38</v>
      </c>
    </row>
    <row r="160" spans="1:2" ht="15.5" thickBot="1">
      <c r="A160" s="21">
        <v>44526.541666666664</v>
      </c>
      <c r="B160" s="22">
        <v>303.19</v>
      </c>
    </row>
    <row r="161" spans="1:2" ht="15.5" thickBot="1">
      <c r="A161" s="21">
        <v>44529.666666666664</v>
      </c>
      <c r="B161" s="22">
        <v>319.39</v>
      </c>
    </row>
    <row r="162" spans="1:2" ht="15.5" thickBot="1">
      <c r="A162" s="21">
        <v>44530.666666666664</v>
      </c>
      <c r="B162" s="22">
        <v>315</v>
      </c>
    </row>
    <row r="163" spans="1:2" ht="15.5" thickBot="1">
      <c r="A163" s="21">
        <v>44531.666666666664</v>
      </c>
      <c r="B163" s="22">
        <v>294.5</v>
      </c>
    </row>
    <row r="164" spans="1:2" ht="15.5" thickBot="1">
      <c r="A164" s="21">
        <v>44532.666666666664</v>
      </c>
      <c r="B164" s="22">
        <v>284.70999999999998</v>
      </c>
    </row>
    <row r="165" spans="1:2" ht="15.5" thickBot="1">
      <c r="A165" s="21">
        <v>44533.666666666664</v>
      </c>
      <c r="B165" s="22">
        <v>265.64999999999998</v>
      </c>
    </row>
    <row r="166" spans="1:2" ht="15.5" thickBot="1">
      <c r="A166" s="21">
        <v>44536.666666666664</v>
      </c>
      <c r="B166" s="22">
        <v>263.24</v>
      </c>
    </row>
    <row r="167" spans="1:2" ht="15.5" thickBot="1">
      <c r="A167" s="21">
        <v>44537.666666666664</v>
      </c>
      <c r="B167" s="22">
        <v>286.42</v>
      </c>
    </row>
    <row r="168" spans="1:2" ht="15.5" thickBot="1">
      <c r="A168" s="21">
        <v>44538.666666666664</v>
      </c>
      <c r="B168" s="22">
        <v>287.48</v>
      </c>
    </row>
    <row r="169" spans="1:2" ht="15.5" thickBot="1">
      <c r="A169" s="21">
        <v>44539.666666666664</v>
      </c>
      <c r="B169" s="22">
        <v>263.91000000000003</v>
      </c>
    </row>
    <row r="170" spans="1:2" ht="15.5" thickBot="1">
      <c r="A170" s="21">
        <v>44540.666666666664</v>
      </c>
      <c r="B170" s="22">
        <v>255.76</v>
      </c>
    </row>
    <row r="171" spans="1:2" ht="15.5" thickBot="1">
      <c r="A171" s="21">
        <v>44543.666666666664</v>
      </c>
      <c r="B171" s="22">
        <v>251.37</v>
      </c>
    </row>
    <row r="172" spans="1:2" ht="15.5" thickBot="1">
      <c r="A172" s="21">
        <v>44544.666666666664</v>
      </c>
      <c r="B172" s="22">
        <v>255.86</v>
      </c>
    </row>
    <row r="173" spans="1:2" ht="15.5" thickBot="1">
      <c r="A173" s="21">
        <v>44545.666666666664</v>
      </c>
      <c r="B173" s="22">
        <v>258.3</v>
      </c>
    </row>
    <row r="174" spans="1:2" ht="15.5" thickBot="1">
      <c r="A174" s="21">
        <v>44546.666666666664</v>
      </c>
      <c r="B174" s="22">
        <v>247.17</v>
      </c>
    </row>
    <row r="175" spans="1:2" ht="15.5" thickBot="1">
      <c r="A175" s="21">
        <v>44547.666666666664</v>
      </c>
      <c r="B175" s="22">
        <v>243.35</v>
      </c>
    </row>
    <row r="176" spans="1:2" ht="15.5" thickBot="1">
      <c r="A176" s="21">
        <v>44550.666666666664</v>
      </c>
      <c r="B176" s="22">
        <v>238.05</v>
      </c>
    </row>
    <row r="177" spans="1:2" ht="15.5" thickBot="1">
      <c r="A177" s="21">
        <v>44551.666666666664</v>
      </c>
      <c r="B177" s="22">
        <v>247.69</v>
      </c>
    </row>
    <row r="178" spans="1:2" ht="15.5" thickBot="1">
      <c r="A178" s="21">
        <v>44552.666666666664</v>
      </c>
      <c r="B178" s="22">
        <v>254.55</v>
      </c>
    </row>
    <row r="179" spans="1:2" ht="15.5" thickBot="1">
      <c r="A179" s="21">
        <v>44553.666666666664</v>
      </c>
      <c r="B179" s="22">
        <v>268.14999999999998</v>
      </c>
    </row>
    <row r="180" spans="1:2" ht="15.5" thickBot="1">
      <c r="A180" s="21">
        <v>44557.666666666664</v>
      </c>
      <c r="B180" s="22">
        <v>280.27</v>
      </c>
    </row>
    <row r="181" spans="1:2" ht="15.5" thickBot="1">
      <c r="A181" s="21">
        <v>44558.666666666664</v>
      </c>
      <c r="B181" s="22">
        <v>261.33</v>
      </c>
    </row>
    <row r="182" spans="1:2" ht="15.5" thickBot="1">
      <c r="A182" s="21">
        <v>44559.666666666664</v>
      </c>
      <c r="B182" s="22">
        <v>252.6</v>
      </c>
    </row>
    <row r="183" spans="1:2" ht="15.5" thickBot="1">
      <c r="A183" s="21">
        <v>44560.666666666664</v>
      </c>
      <c r="B183" s="22">
        <v>256.79000000000002</v>
      </c>
    </row>
    <row r="184" spans="1:2" ht="15.5" thickBot="1">
      <c r="A184" s="21">
        <v>44561.666666666664</v>
      </c>
      <c r="B184" s="22">
        <v>252.37</v>
      </c>
    </row>
    <row r="185" spans="1:2" ht="15.5" thickBot="1">
      <c r="A185" s="21">
        <v>44564.666666666664</v>
      </c>
      <c r="B185" s="22">
        <v>251.05</v>
      </c>
    </row>
    <row r="186" spans="1:2" ht="15.5" thickBot="1">
      <c r="A186" s="21">
        <v>44565.666666666664</v>
      </c>
      <c r="B186" s="22">
        <v>250.15</v>
      </c>
    </row>
    <row r="187" spans="1:2" ht="15.5" thickBot="1">
      <c r="A187" s="21">
        <v>44566.666666666664</v>
      </c>
      <c r="B187" s="22">
        <v>234.23</v>
      </c>
    </row>
    <row r="188" spans="1:2" ht="15.5" thickBot="1">
      <c r="A188" s="21">
        <v>44567.666666666664</v>
      </c>
      <c r="B188" s="22">
        <v>234</v>
      </c>
    </row>
    <row r="189" spans="1:2" ht="15.5" thickBot="1">
      <c r="A189" s="21">
        <v>44568.666666666664</v>
      </c>
      <c r="B189" s="22">
        <v>232.33</v>
      </c>
    </row>
    <row r="190" spans="1:2" ht="15.5" thickBot="1">
      <c r="A190" s="21">
        <v>44571.666666666664</v>
      </c>
      <c r="B190" s="22">
        <v>225.01</v>
      </c>
    </row>
    <row r="191" spans="1:2" ht="15.5" thickBot="1">
      <c r="A191" s="21">
        <v>44572.666666666664</v>
      </c>
      <c r="B191" s="22">
        <v>237.23</v>
      </c>
    </row>
    <row r="192" spans="1:2" ht="15.5" thickBot="1">
      <c r="A192" s="21">
        <v>44573.666666666664</v>
      </c>
      <c r="B192" s="22">
        <v>234.7</v>
      </c>
    </row>
    <row r="193" spans="1:2" ht="15.5" thickBot="1">
      <c r="A193" s="21">
        <v>44574.666666666664</v>
      </c>
      <c r="B193" s="22">
        <v>228.23</v>
      </c>
    </row>
    <row r="194" spans="1:2" ht="15.5" thickBot="1">
      <c r="A194" s="21">
        <v>44575.666666666664</v>
      </c>
      <c r="B194" s="22">
        <v>230.03</v>
      </c>
    </row>
    <row r="195" spans="1:2" ht="15.5" thickBot="1">
      <c r="A195" s="21">
        <v>44579.666666666664</v>
      </c>
      <c r="B195" s="22">
        <v>222</v>
      </c>
    </row>
    <row r="196" spans="1:2" ht="15.5" thickBot="1">
      <c r="A196" s="21">
        <v>44580.666666666664</v>
      </c>
      <c r="B196" s="22">
        <v>219.5</v>
      </c>
    </row>
    <row r="197" spans="1:2" ht="15.5" thickBot="1">
      <c r="A197" s="21">
        <v>44581.666666666664</v>
      </c>
      <c r="B197" s="22">
        <v>221.62</v>
      </c>
    </row>
    <row r="198" spans="1:2" ht="15.5" thickBot="1">
      <c r="A198" s="21">
        <v>44582.666666666664</v>
      </c>
      <c r="B198" s="22">
        <v>191.97</v>
      </c>
    </row>
    <row r="199" spans="1:2" ht="15.5" thickBot="1">
      <c r="A199" s="21">
        <v>44585.666666666664</v>
      </c>
      <c r="B199" s="22">
        <v>191.48</v>
      </c>
    </row>
    <row r="200" spans="1:2" ht="15.5" thickBot="1">
      <c r="A200" s="21">
        <v>44586.666666666664</v>
      </c>
      <c r="B200" s="22">
        <v>185.63</v>
      </c>
    </row>
    <row r="201" spans="1:2" ht="15.5" thickBot="1">
      <c r="A201" s="21">
        <v>44587.666666666664</v>
      </c>
      <c r="B201" s="22">
        <v>178.64</v>
      </c>
    </row>
    <row r="202" spans="1:2" ht="15.5" thickBot="1">
      <c r="A202" s="21">
        <v>44588.666666666664</v>
      </c>
      <c r="B202" s="22">
        <v>170.2</v>
      </c>
    </row>
    <row r="203" spans="1:2" ht="15.5" thickBot="1">
      <c r="A203" s="21">
        <v>44589.666666666664</v>
      </c>
      <c r="B203" s="22">
        <v>177.58</v>
      </c>
    </row>
    <row r="204" spans="1:2" ht="15.5" thickBot="1">
      <c r="A204" s="21">
        <v>44592.666666666664</v>
      </c>
      <c r="B204" s="22">
        <v>190.15</v>
      </c>
    </row>
    <row r="205" spans="1:2" ht="15.5" thickBot="1">
      <c r="A205" s="21">
        <v>44593.666666666664</v>
      </c>
      <c r="B205" s="22">
        <v>197.73</v>
      </c>
    </row>
    <row r="206" spans="1:2" ht="15.5" thickBot="1">
      <c r="A206" s="21">
        <v>44594.666666666664</v>
      </c>
      <c r="B206" s="22">
        <v>187.37</v>
      </c>
    </row>
    <row r="207" spans="1:2" ht="15.5" thickBot="1">
      <c r="A207" s="21">
        <v>44595.666666666664</v>
      </c>
      <c r="B207" s="22">
        <v>181.31</v>
      </c>
    </row>
    <row r="208" spans="1:2" ht="15.5" thickBot="1">
      <c r="A208" s="21">
        <v>44596.666666666664</v>
      </c>
      <c r="B208" s="22">
        <v>194.44</v>
      </c>
    </row>
    <row r="209" spans="1:2" ht="15.5" thickBot="1">
      <c r="A209" s="21">
        <v>44599.666666666664</v>
      </c>
      <c r="B209" s="22">
        <v>205.74</v>
      </c>
    </row>
    <row r="210" spans="1:2" ht="15.5" thickBot="1">
      <c r="A210" s="21">
        <v>44600.666666666664</v>
      </c>
      <c r="B210" s="22">
        <v>208.73</v>
      </c>
    </row>
    <row r="211" spans="1:2" ht="15.5" thickBot="1">
      <c r="A211" s="21">
        <v>44601.666666666664</v>
      </c>
      <c r="B211" s="22">
        <v>214.5</v>
      </c>
    </row>
    <row r="212" spans="1:2" ht="15.5" thickBot="1">
      <c r="A212" s="21">
        <v>44602.666666666664</v>
      </c>
      <c r="B212" s="22">
        <v>204.77</v>
      </c>
    </row>
    <row r="213" spans="1:2" ht="15.5" thickBot="1">
      <c r="A213" s="21">
        <v>44603.666666666664</v>
      </c>
      <c r="B213" s="22">
        <v>194.53</v>
      </c>
    </row>
    <row r="214" spans="1:2" ht="15.5" thickBot="1">
      <c r="A214" s="21">
        <v>44606.666666666664</v>
      </c>
      <c r="B214" s="22">
        <v>195.25</v>
      </c>
    </row>
    <row r="215" spans="1:2" ht="15.5" thickBot="1">
      <c r="A215" s="21">
        <v>44607.666666666664</v>
      </c>
      <c r="B215" s="22">
        <v>208.95</v>
      </c>
    </row>
    <row r="216" spans="1:2" ht="15.5" thickBot="1">
      <c r="A216" s="21">
        <v>44608.666666666664</v>
      </c>
      <c r="B216" s="22">
        <v>207.96</v>
      </c>
    </row>
    <row r="217" spans="1:2" ht="15.5" thickBot="1">
      <c r="A217" s="21">
        <v>44609.666666666664</v>
      </c>
      <c r="B217" s="22">
        <v>191.92</v>
      </c>
    </row>
    <row r="218" spans="1:2" ht="15.5" thickBot="1">
      <c r="A218" s="21">
        <v>44610.666666666664</v>
      </c>
      <c r="B218" s="22">
        <v>189.16</v>
      </c>
    </row>
    <row r="219" spans="1:2" ht="15.5" thickBot="1">
      <c r="A219" s="21">
        <v>44614.666666666664</v>
      </c>
      <c r="B219" s="22">
        <v>176.76</v>
      </c>
    </row>
    <row r="220" spans="1:2" ht="15.5" thickBot="1">
      <c r="A220" s="21">
        <v>44615.666666666664</v>
      </c>
      <c r="B220" s="22">
        <v>172.74</v>
      </c>
    </row>
    <row r="221" spans="1:2" ht="15.5" thickBot="1">
      <c r="A221" s="21">
        <v>44616.666666666664</v>
      </c>
      <c r="B221" s="22">
        <v>179.56</v>
      </c>
    </row>
    <row r="222" spans="1:2" ht="15.5" thickBot="1">
      <c r="A222" s="21">
        <v>44617.666666666664</v>
      </c>
      <c r="B222" s="22">
        <v>176.83</v>
      </c>
    </row>
    <row r="223" spans="1:2" ht="15.5" thickBot="1">
      <c r="A223" s="21">
        <v>44620.666666666664</v>
      </c>
      <c r="B223" s="22">
        <v>190.77</v>
      </c>
    </row>
    <row r="224" spans="1:2" ht="15.5" thickBot="1">
      <c r="A224" s="21">
        <v>44621.666666666664</v>
      </c>
      <c r="B224" s="22">
        <v>196.17</v>
      </c>
    </row>
    <row r="225" spans="1:2" ht="15.5" thickBot="1">
      <c r="A225" s="21">
        <v>44622.666666666664</v>
      </c>
      <c r="B225" s="22">
        <v>194.5</v>
      </c>
    </row>
    <row r="226" spans="1:2" ht="15.5" thickBot="1">
      <c r="A226" s="21">
        <v>44623.666666666664</v>
      </c>
      <c r="B226" s="22">
        <v>178.03</v>
      </c>
    </row>
    <row r="227" spans="1:2" ht="15.5" thickBot="1">
      <c r="A227" s="21">
        <v>44624.666666666664</v>
      </c>
      <c r="B227" s="22">
        <v>165.75</v>
      </c>
    </row>
    <row r="228" spans="1:2" ht="15.5" thickBot="1">
      <c r="A228" s="21">
        <v>44627.666666666664</v>
      </c>
      <c r="B228" s="22">
        <v>161.13999999999999</v>
      </c>
    </row>
    <row r="229" spans="1:2" ht="15.5" thickBot="1">
      <c r="A229" s="21">
        <v>44628.666666666664</v>
      </c>
      <c r="B229" s="22">
        <v>161.99</v>
      </c>
    </row>
    <row r="230" spans="1:2" ht="15.5" thickBot="1">
      <c r="A230" s="21">
        <v>44629.666666666664</v>
      </c>
      <c r="B230" s="22">
        <v>178.97</v>
      </c>
    </row>
    <row r="231" spans="1:2" ht="15.5" thickBot="1">
      <c r="A231" s="21">
        <v>44630.666666666664</v>
      </c>
      <c r="B231" s="22">
        <v>172.97</v>
      </c>
    </row>
    <row r="232" spans="1:2" ht="15.5" thickBot="1">
      <c r="A232" s="21">
        <v>44631.666666666664</v>
      </c>
      <c r="B232" s="22">
        <v>160.07</v>
      </c>
    </row>
    <row r="233" spans="1:2" ht="15.5" thickBot="1">
      <c r="A233" s="21">
        <v>44634.666666666664</v>
      </c>
      <c r="B233" s="22">
        <v>153.19</v>
      </c>
    </row>
    <row r="234" spans="1:2" ht="15.5" thickBot="1">
      <c r="A234" s="21">
        <v>44635.666666666664</v>
      </c>
      <c r="B234" s="22">
        <v>155.97999999999999</v>
      </c>
    </row>
    <row r="235" spans="1:2" ht="15.5" thickBot="1">
      <c r="A235" s="21">
        <v>44636.666666666664</v>
      </c>
      <c r="B235" s="22">
        <v>172.53</v>
      </c>
    </row>
    <row r="236" spans="1:2" ht="15.5" thickBot="1">
      <c r="A236" s="21">
        <v>44637.666666666664</v>
      </c>
      <c r="B236" s="22">
        <v>177.22</v>
      </c>
    </row>
    <row r="237" spans="1:2" ht="15.5" thickBot="1">
      <c r="A237" s="21">
        <v>44638.666666666664</v>
      </c>
      <c r="B237" s="22">
        <v>185.94</v>
      </c>
    </row>
    <row r="238" spans="1:2" ht="15.5" thickBot="1">
      <c r="A238" s="21">
        <v>44641.666666666664</v>
      </c>
      <c r="B238" s="22">
        <v>176.81</v>
      </c>
    </row>
    <row r="239" spans="1:2" ht="15.5" thickBot="1">
      <c r="A239" s="21">
        <v>44642.666666666664</v>
      </c>
      <c r="B239" s="22">
        <v>186.08</v>
      </c>
    </row>
    <row r="240" spans="1:2" ht="15.5" thickBot="1">
      <c r="A240" s="21">
        <v>44643.666666666664</v>
      </c>
      <c r="B240" s="22">
        <v>183.11</v>
      </c>
    </row>
    <row r="241" spans="1:2" ht="15.5" thickBot="1">
      <c r="A241" s="21">
        <v>44644.666666666664</v>
      </c>
      <c r="B241" s="22">
        <v>190.19</v>
      </c>
    </row>
    <row r="242" spans="1:2" ht="15.5" thickBot="1">
      <c r="A242" s="21">
        <v>44645.666666666664</v>
      </c>
      <c r="B242" s="22">
        <v>186.71</v>
      </c>
    </row>
    <row r="243" spans="1:2" ht="15.5" thickBot="1">
      <c r="A243" s="21">
        <v>44648.666666666664</v>
      </c>
      <c r="B243" s="22">
        <v>201.41</v>
      </c>
    </row>
    <row r="244" spans="1:2" ht="15.5" thickBot="1">
      <c r="A244" s="21">
        <v>44649.666666666664</v>
      </c>
      <c r="B244" s="22">
        <v>204.53</v>
      </c>
    </row>
    <row r="245" spans="1:2" ht="15.5" thickBot="1">
      <c r="A245" s="21">
        <v>44650.666666666664</v>
      </c>
      <c r="B245" s="22">
        <v>196.7</v>
      </c>
    </row>
    <row r="246" spans="1:2" ht="15.5" thickBot="1">
      <c r="A246" s="21">
        <v>44651.666666666664</v>
      </c>
      <c r="B246" s="22">
        <v>189.86</v>
      </c>
    </row>
    <row r="247" spans="1:2" ht="15.5" thickBot="1">
      <c r="A247" s="21">
        <v>44652.666666666664</v>
      </c>
      <c r="B247" s="22">
        <v>186.96</v>
      </c>
    </row>
    <row r="248" spans="1:2" ht="15.5" thickBot="1">
      <c r="A248" s="21">
        <v>44655.666666666664</v>
      </c>
      <c r="B248" s="22">
        <v>191.65</v>
      </c>
    </row>
    <row r="249" spans="1:2" ht="15.5" thickBot="1">
      <c r="A249" s="21">
        <v>44656.666666666664</v>
      </c>
      <c r="B249" s="22">
        <v>177.17</v>
      </c>
    </row>
    <row r="250" spans="1:2" ht="15.5" thickBot="1">
      <c r="A250" s="21">
        <v>44657.666666666664</v>
      </c>
      <c r="B250" s="22">
        <v>166.84</v>
      </c>
    </row>
    <row r="251" spans="1:2" ht="15.5" thickBot="1">
      <c r="A251" s="21">
        <v>44658.666666666664</v>
      </c>
      <c r="B251" s="22">
        <v>166.19</v>
      </c>
    </row>
    <row r="252" spans="1:2" ht="15.5" thickBot="1">
      <c r="A252" s="21">
        <v>44659.666666666664</v>
      </c>
      <c r="B252" s="22">
        <v>160.94</v>
      </c>
    </row>
    <row r="253" spans="1:2" ht="15.5" thickBot="1">
      <c r="A253" s="21">
        <v>44662.666666666664</v>
      </c>
      <c r="B253" s="22">
        <v>153.87</v>
      </c>
    </row>
    <row r="254" spans="1:2" ht="15.5" thickBot="1">
      <c r="A254" s="21">
        <v>44663.666666666664</v>
      </c>
      <c r="B254" s="22">
        <v>149.85</v>
      </c>
    </row>
    <row r="255" spans="1:2" ht="15.5" thickBot="1">
      <c r="A255" s="21">
        <v>44664.666666666664</v>
      </c>
      <c r="B255" s="22">
        <v>154.79</v>
      </c>
    </row>
    <row r="256" spans="1:2" ht="15.5" thickBot="1">
      <c r="A256" s="21">
        <v>44665.666666666664</v>
      </c>
      <c r="B256" s="22">
        <v>147.29</v>
      </c>
    </row>
    <row r="257" spans="1:2" ht="15.5" thickBot="1">
      <c r="A257" s="21">
        <v>44669.666666666664</v>
      </c>
      <c r="B257" s="22">
        <v>145.16</v>
      </c>
    </row>
    <row r="258" spans="1:2" ht="15.5" thickBot="1">
      <c r="A258" s="21">
        <v>44670.666666666664</v>
      </c>
      <c r="B258" s="22">
        <v>151.27000000000001</v>
      </c>
    </row>
    <row r="259" spans="1:2" ht="15.5" thickBot="1">
      <c r="A259" s="21">
        <v>44671.666666666664</v>
      </c>
      <c r="B259" s="22">
        <v>147.13</v>
      </c>
    </row>
    <row r="260" spans="1:2" ht="15.5" thickBot="1">
      <c r="A260" s="21">
        <v>44672.666666666664</v>
      </c>
      <c r="B260" s="22">
        <v>137.32</v>
      </c>
    </row>
    <row r="261" spans="1:2" ht="15.5" thickBot="1">
      <c r="A261" s="21">
        <v>44673.666666666664</v>
      </c>
      <c r="B261" s="22">
        <v>131.52000000000001</v>
      </c>
    </row>
    <row r="262" spans="1:2" ht="15.5" thickBot="1">
      <c r="A262" s="21">
        <v>44676.666666666664</v>
      </c>
      <c r="B262" s="22">
        <v>135.13999999999999</v>
      </c>
    </row>
    <row r="263" spans="1:2" ht="15.5" thickBot="1">
      <c r="A263" s="21">
        <v>44677.666666666664</v>
      </c>
      <c r="B263" s="22">
        <v>127.15</v>
      </c>
    </row>
    <row r="264" spans="1:2" ht="15.5" thickBot="1">
      <c r="A264" s="21">
        <v>44678.666666666664</v>
      </c>
      <c r="B264" s="22">
        <v>122.55</v>
      </c>
    </row>
    <row r="265" spans="1:2" ht="15.5" thickBot="1">
      <c r="A265" s="21">
        <v>44679.666666666664</v>
      </c>
      <c r="B265" s="22">
        <v>122.69</v>
      </c>
    </row>
    <row r="266" spans="1:2" ht="15.5" thickBot="1">
      <c r="A266" s="21">
        <v>44680.666666666664</v>
      </c>
      <c r="B266" s="22">
        <v>112.71</v>
      </c>
    </row>
    <row r="267" spans="1:2" ht="15.5" thickBot="1">
      <c r="A267" s="21">
        <v>44683.666666666664</v>
      </c>
      <c r="B267" s="22">
        <v>121.34</v>
      </c>
    </row>
    <row r="268" spans="1:2" ht="15.5" thickBot="1">
      <c r="A268" s="21">
        <v>44684.666666666664</v>
      </c>
      <c r="B268" s="22">
        <v>123.56</v>
      </c>
    </row>
    <row r="269" spans="1:2" ht="15.5" thickBot="1">
      <c r="A269" s="21">
        <v>44685.666666666664</v>
      </c>
      <c r="B269" s="22">
        <v>130.15</v>
      </c>
    </row>
    <row r="270" spans="1:2" ht="15.5" thickBot="1">
      <c r="A270" s="21">
        <v>44686.666666666664</v>
      </c>
      <c r="B270" s="22">
        <v>114.25</v>
      </c>
    </row>
    <row r="271" spans="1:2" ht="15.5" thickBot="1">
      <c r="A271" s="21">
        <v>44687.666666666664</v>
      </c>
      <c r="B271" s="22">
        <v>103.74</v>
      </c>
    </row>
    <row r="272" spans="1:2" ht="15.5" thickBot="1">
      <c r="A272" s="21">
        <v>44690.666666666664</v>
      </c>
      <c r="B272" s="22">
        <v>83.51</v>
      </c>
    </row>
    <row r="273" spans="1:2" ht="15.5" thickBot="1">
      <c r="A273" s="21">
        <v>44691.666666666664</v>
      </c>
      <c r="B273" s="22">
        <v>72.989999999999995</v>
      </c>
    </row>
    <row r="274" spans="1:2" ht="15.5" thickBot="1">
      <c r="A274" s="21">
        <v>44692.666666666664</v>
      </c>
      <c r="B274" s="22">
        <v>53.72</v>
      </c>
    </row>
    <row r="275" spans="1:2" ht="15.5" thickBot="1">
      <c r="A275" s="21">
        <v>44693.666666666664</v>
      </c>
      <c r="B275" s="22">
        <v>58.5</v>
      </c>
    </row>
    <row r="276" spans="1:2" ht="15.5" thickBot="1">
      <c r="A276" s="21">
        <v>44694.666666666664</v>
      </c>
      <c r="B276" s="22">
        <v>67.87</v>
      </c>
    </row>
    <row r="277" spans="1:2" ht="15.5" thickBot="1">
      <c r="A277" s="21">
        <v>44697.666666666664</v>
      </c>
      <c r="B277" s="22">
        <v>61.7</v>
      </c>
    </row>
    <row r="278" spans="1:2" ht="15.5" thickBot="1">
      <c r="A278" s="21">
        <v>44698.666666666664</v>
      </c>
      <c r="B278" s="22">
        <v>70</v>
      </c>
    </row>
    <row r="279" spans="1:2" ht="15.5" thickBot="1">
      <c r="A279" s="21">
        <v>44699.666666666664</v>
      </c>
      <c r="B279" s="22">
        <v>63.03</v>
      </c>
    </row>
    <row r="280" spans="1:2" ht="15.5" thickBot="1">
      <c r="A280" s="21">
        <v>44700.666666666664</v>
      </c>
      <c r="B280" s="22">
        <v>67.42</v>
      </c>
    </row>
    <row r="281" spans="1:2" ht="15.5" thickBot="1">
      <c r="A281" s="21">
        <v>44701.666666666664</v>
      </c>
      <c r="B281" s="22">
        <v>66.150000000000006</v>
      </c>
    </row>
    <row r="282" spans="1:2" ht="15.5" thickBot="1">
      <c r="A282" s="21">
        <v>44704.666666666664</v>
      </c>
      <c r="B282" s="22">
        <v>66.099999999999994</v>
      </c>
    </row>
    <row r="283" spans="1:2" ht="15.5" thickBot="1">
      <c r="A283" s="21">
        <v>44705.666666666664</v>
      </c>
      <c r="B283" s="22">
        <v>61.36</v>
      </c>
    </row>
    <row r="284" spans="1:2" ht="15.5" thickBot="1">
      <c r="A284" s="21">
        <v>44706.666666666664</v>
      </c>
      <c r="B284" s="22">
        <v>67.17</v>
      </c>
    </row>
    <row r="285" spans="1:2" ht="15.5" thickBot="1">
      <c r="A285" s="21">
        <v>44707.666666666664</v>
      </c>
      <c r="B285" s="22">
        <v>69.87</v>
      </c>
    </row>
    <row r="286" spans="1:2" ht="15.5" thickBot="1">
      <c r="A286" s="21">
        <v>44708.666666666664</v>
      </c>
      <c r="B286" s="22">
        <v>75.319999999999993</v>
      </c>
    </row>
    <row r="287" spans="1:2" ht="15.5" thickBot="1">
      <c r="A287" s="21">
        <v>44712.666666666664</v>
      </c>
      <c r="B287" s="22">
        <v>78.099999999999994</v>
      </c>
    </row>
    <row r="288" spans="1:2" ht="15.5" thickBot="1">
      <c r="A288" s="21">
        <v>44713.666666666664</v>
      </c>
      <c r="B288" s="22">
        <v>68.63</v>
      </c>
    </row>
    <row r="289" spans="1:2" ht="15.5" thickBot="1">
      <c r="A289" s="21">
        <v>44714.666666666664</v>
      </c>
      <c r="B289" s="22">
        <v>73.819999999999993</v>
      </c>
    </row>
    <row r="290" spans="1:2" ht="15.5" thickBot="1">
      <c r="A290" s="21">
        <v>44715.666666666664</v>
      </c>
      <c r="B290" s="22">
        <v>66.69</v>
      </c>
    </row>
    <row r="291" spans="1:2" ht="15.5" thickBot="1">
      <c r="A291" s="21">
        <v>44718.666666666664</v>
      </c>
      <c r="B291" s="22">
        <v>70.67</v>
      </c>
    </row>
    <row r="292" spans="1:2" ht="15.5" thickBot="1">
      <c r="A292" s="21">
        <v>44719.666666666664</v>
      </c>
      <c r="B292" s="22">
        <v>69.569999999999993</v>
      </c>
    </row>
    <row r="293" spans="1:2" ht="15.5" thickBot="1">
      <c r="A293" s="21">
        <v>44720.666666666664</v>
      </c>
      <c r="B293" s="22">
        <v>69.2</v>
      </c>
    </row>
    <row r="294" spans="1:2" ht="15.5" thickBot="1">
      <c r="A294" s="21">
        <v>44721.666666666664</v>
      </c>
      <c r="B294" s="22">
        <v>63.76</v>
      </c>
    </row>
    <row r="295" spans="1:2" ht="15.5" thickBot="1">
      <c r="A295" s="21">
        <v>44722.666666666664</v>
      </c>
      <c r="B295" s="22">
        <v>58.71</v>
      </c>
    </row>
    <row r="296" spans="1:2" ht="15.5" thickBot="1">
      <c r="A296" s="21">
        <v>44725.666666666664</v>
      </c>
      <c r="B296" s="22">
        <v>52.01</v>
      </c>
    </row>
    <row r="297" spans="1:2" ht="15.5" thickBot="1">
      <c r="A297" s="21">
        <v>44726.666666666664</v>
      </c>
      <c r="B297" s="22">
        <v>51.58</v>
      </c>
    </row>
    <row r="298" spans="1:2" ht="15.5" thickBot="1">
      <c r="A298" s="21">
        <v>44727.666666666664</v>
      </c>
      <c r="B298" s="22">
        <v>55.01</v>
      </c>
    </row>
    <row r="299" spans="1:2" ht="15.5" thickBot="1">
      <c r="A299" s="21">
        <v>44728.666666666664</v>
      </c>
      <c r="B299" s="22">
        <v>51.05</v>
      </c>
    </row>
    <row r="300" spans="1:2" ht="15.5" thickBot="1">
      <c r="A300" s="21">
        <v>44729.666666666664</v>
      </c>
      <c r="B300" s="22">
        <v>51.22</v>
      </c>
    </row>
    <row r="301" spans="1:2" ht="15.5" thickBot="1">
      <c r="A301" s="21">
        <v>44733.666666666664</v>
      </c>
      <c r="B301" s="22">
        <v>57.49</v>
      </c>
    </row>
    <row r="302" spans="1:2" ht="15.5" thickBot="1">
      <c r="A302" s="21">
        <v>44734.666666666664</v>
      </c>
      <c r="B302" s="22">
        <v>51.91</v>
      </c>
    </row>
    <row r="303" spans="1:2" ht="15.5" thickBot="1">
      <c r="A303" s="21">
        <v>44735.666666666664</v>
      </c>
      <c r="B303" s="22">
        <v>58.88</v>
      </c>
    </row>
    <row r="304" spans="1:2" ht="15.5" thickBot="1">
      <c r="A304" s="21">
        <v>44736.666666666664</v>
      </c>
      <c r="B304" s="22">
        <v>62.71</v>
      </c>
    </row>
    <row r="305" spans="1:2" ht="15.5" thickBot="1">
      <c r="A305" s="21">
        <v>44739.666666666664</v>
      </c>
      <c r="B305" s="22">
        <v>55.96</v>
      </c>
    </row>
    <row r="306" spans="1:2" ht="15.5" thickBot="1">
      <c r="A306" s="21">
        <v>44740.666666666664</v>
      </c>
      <c r="B306" s="22">
        <v>51.18</v>
      </c>
    </row>
    <row r="307" spans="1:2" ht="15.5" thickBot="1">
      <c r="A307" s="21">
        <v>44741.666666666664</v>
      </c>
      <c r="B307" s="22">
        <v>49.75</v>
      </c>
    </row>
    <row r="308" spans="1:2" ht="15.5" thickBot="1">
      <c r="A308" s="21">
        <v>44742.666666666664</v>
      </c>
      <c r="B308" s="22">
        <v>47.02</v>
      </c>
    </row>
    <row r="309" spans="1:2" ht="15.5" thickBot="1">
      <c r="A309" s="21">
        <v>44743.666666666664</v>
      </c>
      <c r="B309" s="22">
        <v>49.04</v>
      </c>
    </row>
    <row r="310" spans="1:2" ht="15.5" thickBot="1">
      <c r="A310" s="21">
        <v>44747.666666666664</v>
      </c>
      <c r="B310" s="22">
        <v>55.41</v>
      </c>
    </row>
    <row r="311" spans="1:2" ht="15.5" thickBot="1">
      <c r="A311" s="21">
        <v>44748.666666666664</v>
      </c>
      <c r="B311" s="22">
        <v>51.71</v>
      </c>
    </row>
    <row r="312" spans="1:2" ht="15.5" thickBot="1">
      <c r="A312" s="21">
        <v>44749.666666666664</v>
      </c>
      <c r="B312" s="22">
        <v>57.46</v>
      </c>
    </row>
    <row r="313" spans="1:2" ht="15.5" thickBot="1">
      <c r="A313" s="21">
        <v>44750.666666666664</v>
      </c>
      <c r="B313" s="22">
        <v>60.29</v>
      </c>
    </row>
    <row r="314" spans="1:2" ht="15.5" thickBot="1">
      <c r="A314" s="21">
        <v>44753.666666666664</v>
      </c>
      <c r="B314" s="22">
        <v>53.88</v>
      </c>
    </row>
    <row r="315" spans="1:2" ht="15.5" thickBot="1">
      <c r="A315" s="21">
        <v>44754.666666666664</v>
      </c>
      <c r="B315" s="22">
        <v>54.24</v>
      </c>
    </row>
    <row r="316" spans="1:2" ht="15.5" thickBot="1">
      <c r="A316" s="21">
        <v>44755.666666666664</v>
      </c>
      <c r="B316" s="22">
        <v>53.1</v>
      </c>
    </row>
    <row r="317" spans="1:2" ht="15.5" thickBot="1">
      <c r="A317" s="21">
        <v>44756.666666666664</v>
      </c>
      <c r="B317" s="22">
        <v>53.42</v>
      </c>
    </row>
    <row r="318" spans="1:2" ht="15.5" thickBot="1">
      <c r="A318" s="21">
        <v>44757.666666666664</v>
      </c>
      <c r="B318" s="22">
        <v>53.79</v>
      </c>
    </row>
    <row r="319" spans="1:2" ht="15.5" thickBot="1">
      <c r="A319" s="21">
        <v>44760.666666666664</v>
      </c>
      <c r="B319" s="22">
        <v>58.67</v>
      </c>
    </row>
    <row r="320" spans="1:2" ht="15.5" thickBot="1">
      <c r="A320" s="21">
        <v>44761.666666666664</v>
      </c>
      <c r="B320" s="22">
        <v>65.83</v>
      </c>
    </row>
    <row r="321" spans="1:2" ht="15.5" thickBot="1">
      <c r="A321" s="21">
        <v>44762.666666666664</v>
      </c>
      <c r="B321" s="22">
        <v>75.27</v>
      </c>
    </row>
    <row r="322" spans="1:2" ht="15.5" thickBot="1">
      <c r="A322" s="21">
        <v>44763.666666666664</v>
      </c>
      <c r="B322" s="22">
        <v>73.98</v>
      </c>
    </row>
    <row r="323" spans="1:2" ht="15.5" thickBot="1">
      <c r="A323" s="21">
        <v>44764.666666666664</v>
      </c>
      <c r="B323" s="22">
        <v>70.819999999999993</v>
      </c>
    </row>
    <row r="324" spans="1:2" ht="15.5" thickBot="1">
      <c r="A324" s="21">
        <v>44767.666666666664</v>
      </c>
      <c r="B324" s="22">
        <v>67.069999999999993</v>
      </c>
    </row>
    <row r="325" spans="1:2" ht="15.5" thickBot="1">
      <c r="A325" s="21">
        <v>44768.666666666664</v>
      </c>
      <c r="B325" s="22">
        <v>52.93</v>
      </c>
    </row>
    <row r="326" spans="1:2" ht="15.5" thickBot="1">
      <c r="A326" s="21">
        <v>44769.666666666664</v>
      </c>
      <c r="B326" s="22">
        <v>58.83</v>
      </c>
    </row>
    <row r="327" spans="1:2" ht="15.5" thickBot="1">
      <c r="A327" s="21">
        <v>44770.666666666664</v>
      </c>
      <c r="B327" s="22">
        <v>62.25</v>
      </c>
    </row>
    <row r="328" spans="1:2" ht="15.5" thickBot="1">
      <c r="A328" s="21">
        <v>44771.666666666664</v>
      </c>
      <c r="B328" s="22">
        <v>62.96</v>
      </c>
    </row>
    <row r="329" spans="1:2" ht="15.5" thickBot="1">
      <c r="A329" s="21">
        <v>44774.666666666664</v>
      </c>
      <c r="B329" s="22">
        <v>62.7</v>
      </c>
    </row>
    <row r="330" spans="1:2" ht="15.5" thickBot="1">
      <c r="A330" s="21">
        <v>44775.666666666664</v>
      </c>
      <c r="B330" s="22">
        <v>67.23</v>
      </c>
    </row>
    <row r="331" spans="1:2" ht="15.5" thickBot="1">
      <c r="A331" s="21">
        <v>44776.666666666664</v>
      </c>
      <c r="B331" s="22">
        <v>80.81</v>
      </c>
    </row>
    <row r="332" spans="1:2" ht="15.5" thickBot="1">
      <c r="A332" s="21">
        <v>44777.666666666664</v>
      </c>
      <c r="B332" s="22">
        <v>88.9</v>
      </c>
    </row>
    <row r="333" spans="1:2" ht="15.5" thickBot="1">
      <c r="A333" s="21">
        <v>44778.666666666664</v>
      </c>
      <c r="B333" s="22">
        <v>93.05</v>
      </c>
    </row>
    <row r="334" spans="1:2" ht="15.5" thickBot="1">
      <c r="A334" s="21">
        <v>44781.666666666664</v>
      </c>
      <c r="B334" s="22">
        <v>98.02</v>
      </c>
    </row>
    <row r="335" spans="1:2" ht="15.5" thickBot="1">
      <c r="A335" s="21">
        <v>44782.666666666664</v>
      </c>
      <c r="B335" s="22">
        <v>87.68</v>
      </c>
    </row>
    <row r="336" spans="1:2" ht="15.5" thickBot="1">
      <c r="A336" s="21">
        <v>44783.666666666664</v>
      </c>
      <c r="B336" s="22">
        <v>94.14</v>
      </c>
    </row>
    <row r="337" spans="1:2" ht="15.5" thickBot="1">
      <c r="A337" s="21">
        <v>44784.666666666664</v>
      </c>
      <c r="B337" s="22">
        <v>84</v>
      </c>
    </row>
    <row r="338" spans="1:2" ht="15.5" thickBot="1">
      <c r="A338" s="21">
        <v>44785.666666666664</v>
      </c>
      <c r="B338" s="22">
        <v>90.49</v>
      </c>
    </row>
    <row r="339" spans="1:2" ht="15.5" thickBot="1">
      <c r="A339" s="21">
        <v>44788.666666666664</v>
      </c>
      <c r="B339" s="22">
        <v>91.97</v>
      </c>
    </row>
    <row r="340" spans="1:2" ht="15.5" thickBot="1">
      <c r="A340" s="21">
        <v>44789.666666666664</v>
      </c>
      <c r="B340" s="22">
        <v>90.39</v>
      </c>
    </row>
    <row r="341" spans="1:2" ht="15.5" thickBot="1">
      <c r="A341" s="21">
        <v>44790.666666666664</v>
      </c>
      <c r="B341" s="22">
        <v>85.44</v>
      </c>
    </row>
    <row r="342" spans="1:2" ht="15.5" thickBot="1">
      <c r="A342" s="21">
        <v>44791.666666666664</v>
      </c>
      <c r="B342" s="22">
        <v>83.47</v>
      </c>
    </row>
    <row r="343" spans="1:2" ht="15.5" thickBot="1">
      <c r="A343" s="21">
        <v>44792.666666666664</v>
      </c>
      <c r="B343" s="22">
        <v>74.06</v>
      </c>
    </row>
    <row r="344" spans="1:2" ht="15.5" thickBot="1">
      <c r="A344" s="21">
        <v>44795.666666666664</v>
      </c>
      <c r="B344" s="22">
        <v>71.47</v>
      </c>
    </row>
    <row r="345" spans="1:2" ht="15.5" thickBot="1">
      <c r="A345" s="21">
        <v>44796.666666666664</v>
      </c>
      <c r="B345" s="22">
        <v>71.180000000000007</v>
      </c>
    </row>
    <row r="346" spans="1:2" ht="15.5" thickBot="1">
      <c r="A346" s="21">
        <v>44797.666666666664</v>
      </c>
      <c r="B346" s="22">
        <v>71.48</v>
      </c>
    </row>
    <row r="347" spans="1:2" ht="15.5" thickBot="1">
      <c r="A347" s="21">
        <v>44798.666666666664</v>
      </c>
      <c r="B347" s="22">
        <v>71.37</v>
      </c>
    </row>
    <row r="348" spans="1:2" ht="15.5" thickBot="1">
      <c r="A348" s="21">
        <v>44799.666666666664</v>
      </c>
      <c r="B348" s="22">
        <v>66.739999999999995</v>
      </c>
    </row>
    <row r="349" spans="1:2" ht="15.5" thickBot="1">
      <c r="A349" s="21">
        <v>44802.666666666664</v>
      </c>
      <c r="B349" s="22">
        <v>66.34</v>
      </c>
    </row>
    <row r="350" spans="1:2" ht="15.5" thickBot="1">
      <c r="A350" s="21">
        <v>44803.666666666664</v>
      </c>
      <c r="B350" s="22">
        <v>67.03</v>
      </c>
    </row>
    <row r="351" spans="1:2" ht="15.5" thickBot="1">
      <c r="A351" s="21">
        <v>44804.666666666664</v>
      </c>
      <c r="B351" s="22">
        <v>66.8</v>
      </c>
    </row>
    <row r="352" spans="1:2" ht="15.5" thickBot="1">
      <c r="A352" s="21">
        <v>44805.666666666664</v>
      </c>
      <c r="B352" s="22">
        <v>65.53</v>
      </c>
    </row>
    <row r="353" spans="1:2" ht="15.5" thickBot="1">
      <c r="A353" s="21">
        <v>44806.666666666664</v>
      </c>
      <c r="B353" s="22">
        <v>65.260000000000005</v>
      </c>
    </row>
    <row r="354" spans="1:2" ht="15.5" thickBot="1">
      <c r="A354" s="21">
        <v>44810.666666666664</v>
      </c>
      <c r="B354" s="22">
        <v>62.78</v>
      </c>
    </row>
    <row r="355" spans="1:2" ht="15.5" thickBot="1">
      <c r="A355" s="21">
        <v>44811.666666666664</v>
      </c>
      <c r="B355" s="22">
        <v>68.25</v>
      </c>
    </row>
    <row r="356" spans="1:2" ht="15.5" thickBot="1">
      <c r="A356" s="21">
        <v>44812.666666666664</v>
      </c>
      <c r="B356" s="22">
        <v>73.08</v>
      </c>
    </row>
    <row r="357" spans="1:2" ht="15.5" thickBot="1">
      <c r="A357" s="21">
        <v>44813.666666666664</v>
      </c>
      <c r="B357" s="22">
        <v>80.87</v>
      </c>
    </row>
    <row r="358" spans="1:2" ht="15.5" thickBot="1">
      <c r="A358" s="21">
        <v>44816.666666666664</v>
      </c>
      <c r="B358" s="22">
        <v>82.55</v>
      </c>
    </row>
    <row r="359" spans="1:2" ht="15.5" thickBot="1">
      <c r="A359" s="21">
        <v>44817.666666666664</v>
      </c>
      <c r="B359" s="22">
        <v>75.25</v>
      </c>
    </row>
    <row r="360" spans="1:2" ht="15.5" thickBot="1">
      <c r="A360" s="21">
        <v>44818.666666666664</v>
      </c>
      <c r="B360" s="22">
        <v>78.7</v>
      </c>
    </row>
    <row r="361" spans="1:2" ht="15.5" thickBot="1">
      <c r="A361" s="21">
        <v>44819.666666666664</v>
      </c>
      <c r="B361" s="22">
        <v>77.23</v>
      </c>
    </row>
    <row r="362" spans="1:2" ht="15.5" thickBot="1">
      <c r="A362" s="21">
        <v>44820.666666666664</v>
      </c>
      <c r="B362" s="22">
        <v>74</v>
      </c>
    </row>
    <row r="363" spans="1:2" ht="15.5" thickBot="1">
      <c r="A363" s="21">
        <v>44823.666666666664</v>
      </c>
      <c r="B363" s="22">
        <v>69.930000000000007</v>
      </c>
    </row>
    <row r="364" spans="1:2" ht="15.5" thickBot="1">
      <c r="A364" s="21">
        <v>44824.666666666664</v>
      </c>
      <c r="B364" s="22">
        <v>67.94</v>
      </c>
    </row>
    <row r="365" spans="1:2" ht="15.5" thickBot="1">
      <c r="A365" s="21">
        <v>44825.666666666664</v>
      </c>
      <c r="B365" s="22">
        <v>67.64</v>
      </c>
    </row>
    <row r="366" spans="1:2" ht="15.5" thickBot="1">
      <c r="A366" s="21">
        <v>44826.666666666664</v>
      </c>
      <c r="B366" s="22">
        <v>62.94</v>
      </c>
    </row>
    <row r="367" spans="1:2" ht="15.5" thickBot="1">
      <c r="A367" s="21">
        <v>44827.666666666664</v>
      </c>
      <c r="B367" s="22">
        <v>61.88</v>
      </c>
    </row>
    <row r="368" spans="1:2" ht="15.5" thickBot="1">
      <c r="A368" s="21">
        <v>44830.666666666664</v>
      </c>
      <c r="B368" s="22">
        <v>62.28</v>
      </c>
    </row>
    <row r="369" spans="1:2" ht="15.5" thickBot="1">
      <c r="A369" s="21">
        <v>44831.666666666664</v>
      </c>
      <c r="B369" s="22">
        <v>63.05</v>
      </c>
    </row>
    <row r="370" spans="1:2" ht="15.5" thickBot="1">
      <c r="A370" s="21">
        <v>44832.666666666664</v>
      </c>
      <c r="B370" s="22">
        <v>67.31</v>
      </c>
    </row>
    <row r="371" spans="1:2" ht="15.5" thickBot="1">
      <c r="A371" s="21">
        <v>44833.666666666664</v>
      </c>
      <c r="B371" s="22">
        <v>61.94</v>
      </c>
    </row>
    <row r="372" spans="1:2" ht="15.5" thickBot="1">
      <c r="A372" s="21">
        <v>44834.666666666664</v>
      </c>
      <c r="B372" s="22">
        <v>64.489999999999995</v>
      </c>
    </row>
    <row r="373" spans="1:2" ht="15.5" thickBot="1">
      <c r="A373" s="21">
        <v>44837.666666666664</v>
      </c>
      <c r="B373" s="22">
        <v>65.95</v>
      </c>
    </row>
    <row r="374" spans="1:2" ht="15.5" thickBot="1">
      <c r="A374" s="21">
        <v>44838.666666666664</v>
      </c>
      <c r="B374" s="22">
        <v>74.5</v>
      </c>
    </row>
    <row r="375" spans="1:2" ht="15.5" thickBot="1">
      <c r="A375" s="21">
        <v>44839.666666666664</v>
      </c>
      <c r="B375" s="22">
        <v>72.97</v>
      </c>
    </row>
    <row r="376" spans="1:2" ht="15.5" thickBot="1">
      <c r="A376" s="21">
        <v>44840.666666666664</v>
      </c>
      <c r="B376" s="22">
        <v>73.91</v>
      </c>
    </row>
    <row r="377" spans="1:2" ht="15.5" thickBot="1">
      <c r="A377" s="21">
        <v>44841.666666666664</v>
      </c>
      <c r="B377" s="22">
        <v>67</v>
      </c>
    </row>
    <row r="378" spans="1:2" ht="15.5" thickBot="1">
      <c r="A378" s="21">
        <v>44844.666666666664</v>
      </c>
      <c r="B378" s="22">
        <v>67.040000000000006</v>
      </c>
    </row>
    <row r="379" spans="1:2" ht="15.5" thickBot="1">
      <c r="A379" s="21">
        <v>44845.666666666664</v>
      </c>
      <c r="B379" s="22">
        <v>70.16</v>
      </c>
    </row>
    <row r="380" spans="1:2" ht="15.5" thickBot="1">
      <c r="A380" s="21">
        <v>44846.666666666664</v>
      </c>
      <c r="B380" s="22">
        <v>69.95</v>
      </c>
    </row>
    <row r="381" spans="1:2" ht="15.5" thickBot="1">
      <c r="A381" s="21">
        <v>44847.666666666664</v>
      </c>
      <c r="B381" s="22">
        <v>69.260000000000005</v>
      </c>
    </row>
    <row r="382" spans="1:2" ht="15.5" thickBot="1">
      <c r="A382" s="21">
        <v>44848.666666666664</v>
      </c>
      <c r="B382" s="22">
        <v>63.59</v>
      </c>
    </row>
    <row r="383" spans="1:2" ht="15.5" thickBot="1">
      <c r="A383" s="21">
        <v>44851.666666666664</v>
      </c>
      <c r="B383" s="22">
        <v>69.17</v>
      </c>
    </row>
    <row r="384" spans="1:2" ht="15.5" thickBot="1">
      <c r="A384" s="21">
        <v>44852.666666666664</v>
      </c>
      <c r="B384" s="22">
        <v>66.209999999999994</v>
      </c>
    </row>
    <row r="385" spans="1:2" ht="15.5" thickBot="1">
      <c r="A385" s="21">
        <v>44853.666666666664</v>
      </c>
      <c r="B385" s="22">
        <v>63.19</v>
      </c>
    </row>
    <row r="386" spans="1:2" ht="15.5" thickBot="1">
      <c r="A386" s="21">
        <v>44854.666666666664</v>
      </c>
      <c r="B386" s="22">
        <v>63.59</v>
      </c>
    </row>
    <row r="387" spans="1:2" ht="15.5" thickBot="1">
      <c r="A387" s="21">
        <v>44855.666666666664</v>
      </c>
      <c r="B387" s="22">
        <v>66.38</v>
      </c>
    </row>
    <row r="388" spans="1:2" ht="15.5" thickBot="1">
      <c r="A388" s="21">
        <v>44858.666666666664</v>
      </c>
      <c r="B388" s="22">
        <v>66.39</v>
      </c>
    </row>
    <row r="389" spans="1:2" ht="15.5" thickBot="1">
      <c r="A389" s="21">
        <v>44859.666666666664</v>
      </c>
      <c r="B389" s="22">
        <v>75.05</v>
      </c>
    </row>
    <row r="390" spans="1:2" ht="15.5" thickBot="1">
      <c r="A390" s="21">
        <v>44860.666666666664</v>
      </c>
      <c r="B390" s="22">
        <v>73.81</v>
      </c>
    </row>
    <row r="391" spans="1:2" ht="15.5" thickBot="1">
      <c r="A391" s="21">
        <v>44861.666666666664</v>
      </c>
      <c r="B391" s="22">
        <v>72.47</v>
      </c>
    </row>
    <row r="392" spans="1:2" ht="15.5" thickBot="1">
      <c r="A392" s="21">
        <v>44862.666666666664</v>
      </c>
      <c r="B392" s="22">
        <v>72.069999999999993</v>
      </c>
    </row>
    <row r="393" spans="1:2" ht="15.5" thickBot="1">
      <c r="A393" s="21">
        <v>44865.666666666664</v>
      </c>
      <c r="B393" s="22">
        <v>66.25</v>
      </c>
    </row>
    <row r="394" spans="1:2" ht="15.5" thickBot="1">
      <c r="A394" s="21">
        <v>44866.666666666664</v>
      </c>
      <c r="B394" s="22">
        <v>63.29</v>
      </c>
    </row>
    <row r="395" spans="1:2" ht="15.5" thickBot="1">
      <c r="A395" s="21">
        <v>44867.666666666664</v>
      </c>
      <c r="B395" s="22">
        <v>60.71</v>
      </c>
    </row>
    <row r="396" spans="1:2" ht="15.5" thickBot="1">
      <c r="A396" s="21">
        <v>44868.666666666664</v>
      </c>
      <c r="B396" s="22">
        <v>55.8</v>
      </c>
    </row>
    <row r="397" spans="1:2" ht="15.5" thickBot="1">
      <c r="A397" s="21">
        <v>44869.666666666664</v>
      </c>
      <c r="B397" s="22">
        <v>58.82</v>
      </c>
    </row>
    <row r="398" spans="1:2" ht="15.5" thickBot="1">
      <c r="A398" s="21">
        <v>44872.666666666664</v>
      </c>
      <c r="B398" s="22">
        <v>56.97</v>
      </c>
    </row>
    <row r="399" spans="1:2" ht="15.5" thickBot="1">
      <c r="A399" s="21">
        <v>44873.666666666664</v>
      </c>
      <c r="B399" s="22">
        <v>50.83</v>
      </c>
    </row>
    <row r="400" spans="1:2" ht="15.5" thickBot="1">
      <c r="A400" s="21">
        <v>44874.666666666664</v>
      </c>
      <c r="B400" s="22">
        <v>45.98</v>
      </c>
    </row>
    <row r="401" spans="1:2" ht="15.5" thickBot="1">
      <c r="A401" s="21">
        <v>44875.666666666664</v>
      </c>
      <c r="B401" s="22">
        <v>50.92</v>
      </c>
    </row>
    <row r="402" spans="1:2" ht="15.5" thickBot="1">
      <c r="A402" s="21">
        <v>44876.666666666664</v>
      </c>
      <c r="B402" s="22">
        <v>57.46</v>
      </c>
    </row>
    <row r="403" spans="1:2" ht="15.5" thickBot="1">
      <c r="A403" s="21">
        <v>44879.666666666664</v>
      </c>
      <c r="B403" s="22">
        <v>53.22</v>
      </c>
    </row>
    <row r="404" spans="1:2" ht="15.5" thickBot="1">
      <c r="A404" s="21">
        <v>44880.666666666664</v>
      </c>
      <c r="B404" s="22">
        <v>55.53</v>
      </c>
    </row>
    <row r="405" spans="1:2" ht="15.5" thickBot="1">
      <c r="A405" s="21">
        <v>44881.666666666664</v>
      </c>
      <c r="B405" s="22">
        <v>48.83</v>
      </c>
    </row>
    <row r="406" spans="1:2" ht="15.5" thickBot="1">
      <c r="A406" s="21">
        <v>44882.666666666664</v>
      </c>
      <c r="B406" s="22">
        <v>48.79</v>
      </c>
    </row>
    <row r="407" spans="1:2" ht="15.5" thickBot="1">
      <c r="A407" s="21">
        <v>44883.666666666664</v>
      </c>
      <c r="B407" s="22">
        <v>45.26</v>
      </c>
    </row>
    <row r="408" spans="1:2" ht="15.5" thickBot="1">
      <c r="A408" s="21">
        <v>44886.666666666664</v>
      </c>
      <c r="B408" s="22">
        <v>41.23</v>
      </c>
    </row>
    <row r="409" spans="1:2" ht="15.5" thickBot="1">
      <c r="A409" s="21">
        <v>44887.666666666664</v>
      </c>
      <c r="B409" s="22">
        <v>43.39</v>
      </c>
    </row>
    <row r="410" spans="1:2" ht="15.5" thickBot="1">
      <c r="A410" s="21">
        <v>44888.666666666664</v>
      </c>
      <c r="B410" s="22">
        <v>45.57</v>
      </c>
    </row>
    <row r="411" spans="1:2" ht="15.5" thickBot="1">
      <c r="A411" s="21">
        <v>44890.545138888891</v>
      </c>
      <c r="B411" s="22">
        <v>44.28</v>
      </c>
    </row>
    <row r="412" spans="1:2" ht="15.5" thickBot="1">
      <c r="A412" s="21">
        <v>44893.666666666664</v>
      </c>
      <c r="B412" s="22">
        <v>42.51</v>
      </c>
    </row>
    <row r="413" spans="1:2" ht="15.5" thickBot="1">
      <c r="A413" s="21">
        <v>44894.666666666664</v>
      </c>
      <c r="B413" s="22">
        <v>43.11</v>
      </c>
    </row>
    <row r="414" spans="1:2" ht="15.5" thickBot="1">
      <c r="A414" s="21">
        <v>44895.666666666664</v>
      </c>
      <c r="B414" s="22">
        <v>45.73</v>
      </c>
    </row>
    <row r="415" spans="1:2" ht="15.5" thickBot="1">
      <c r="A415" s="21">
        <v>44896.666666666664</v>
      </c>
      <c r="B415" s="22">
        <v>45.27</v>
      </c>
    </row>
    <row r="416" spans="1:2" ht="15.5" thickBot="1">
      <c r="A416" s="21">
        <v>44897.666666666664</v>
      </c>
      <c r="B416" s="22">
        <v>47.67</v>
      </c>
    </row>
    <row r="417" spans="1:2" ht="15.5" thickBot="1">
      <c r="A417" s="21">
        <v>44900.666666666664</v>
      </c>
      <c r="B417" s="22">
        <v>46</v>
      </c>
    </row>
    <row r="418" spans="1:2" ht="15.5" thickBot="1">
      <c r="A418" s="21">
        <v>44901.666666666664</v>
      </c>
      <c r="B418" s="22">
        <v>42.41</v>
      </c>
    </row>
    <row r="419" spans="1:2" ht="15.5" thickBot="1">
      <c r="A419" s="21">
        <v>44902.666666666664</v>
      </c>
      <c r="B419" s="22">
        <v>41.26</v>
      </c>
    </row>
    <row r="420" spans="1:2" ht="15.5" thickBot="1">
      <c r="A420" s="21">
        <v>44903.666666666664</v>
      </c>
      <c r="B420" s="22">
        <v>42.81</v>
      </c>
    </row>
    <row r="421" spans="1:2" ht="15.5" thickBot="1">
      <c r="A421" s="21">
        <v>44904.666666666664</v>
      </c>
      <c r="B421" s="22">
        <v>40.24</v>
      </c>
    </row>
    <row r="422" spans="1:2" ht="15.5" thickBot="1">
      <c r="A422" s="21">
        <v>44907.666666666664</v>
      </c>
      <c r="B422" s="22">
        <v>42.6</v>
      </c>
    </row>
    <row r="423" spans="1:2" ht="15.5" thickBot="1">
      <c r="A423" s="21">
        <v>44908.666666666664</v>
      </c>
      <c r="B423" s="22">
        <v>38.69</v>
      </c>
    </row>
    <row r="424" spans="1:2" ht="15.5" thickBot="1">
      <c r="A424" s="21">
        <v>44909.666666666664</v>
      </c>
      <c r="B424" s="22">
        <v>40.19</v>
      </c>
    </row>
    <row r="425" spans="1:2" ht="15.5" thickBot="1">
      <c r="A425" s="21">
        <v>44910.666666666664</v>
      </c>
      <c r="B425" s="22">
        <v>37.979999999999997</v>
      </c>
    </row>
    <row r="426" spans="1:2" ht="15.5" thickBot="1">
      <c r="A426" s="21">
        <v>44911.666666666664</v>
      </c>
      <c r="B426" s="22">
        <v>36.6</v>
      </c>
    </row>
    <row r="427" spans="1:2" ht="15.5" thickBot="1">
      <c r="A427" s="21">
        <v>44914.666666666664</v>
      </c>
      <c r="B427" s="22">
        <v>35.17</v>
      </c>
    </row>
    <row r="428" spans="1:2" ht="15.5" thickBot="1">
      <c r="A428" s="21">
        <v>44915.666666666664</v>
      </c>
      <c r="B428" s="22">
        <v>34.97</v>
      </c>
    </row>
    <row r="429" spans="1:2" ht="15.5" thickBot="1">
      <c r="A429" s="21">
        <v>44916.666666666664</v>
      </c>
      <c r="B429" s="22">
        <v>35.15</v>
      </c>
    </row>
    <row r="430" spans="1:2" ht="15.5" thickBot="1">
      <c r="A430" s="21">
        <v>44917.666666666664</v>
      </c>
      <c r="B430" s="22">
        <v>34.590000000000003</v>
      </c>
    </row>
    <row r="431" spans="1:2" ht="15.5" thickBot="1">
      <c r="A431" s="21">
        <v>44918.666666666664</v>
      </c>
      <c r="B431" s="22">
        <v>35.49</v>
      </c>
    </row>
    <row r="432" spans="1:2" ht="15.5" thickBot="1">
      <c r="A432" s="21">
        <v>44922.666666666664</v>
      </c>
      <c r="B432" s="22">
        <v>32.65</v>
      </c>
    </row>
    <row r="433" spans="1:2" ht="15.5" thickBot="1">
      <c r="A433" s="21">
        <v>44923.666666666664</v>
      </c>
      <c r="B433" s="22">
        <v>32.53</v>
      </c>
    </row>
    <row r="434" spans="1:2" ht="15.5" thickBot="1">
      <c r="A434" s="21">
        <v>44924.666666666664</v>
      </c>
      <c r="B434" s="22">
        <v>34.78</v>
      </c>
    </row>
    <row r="435" spans="1:2" ht="15.5" thickBot="1">
      <c r="A435" s="21">
        <v>44925.666666666664</v>
      </c>
      <c r="B435" s="22">
        <v>35.39</v>
      </c>
    </row>
    <row r="436" spans="1:2" ht="15.5" thickBot="1">
      <c r="A436" s="21">
        <v>44929.666666666664</v>
      </c>
      <c r="B436" s="22">
        <v>33.6</v>
      </c>
    </row>
    <row r="437" spans="1:2" ht="15.5" thickBot="1">
      <c r="A437" s="21">
        <v>44930.666666666664</v>
      </c>
      <c r="B437" s="22">
        <v>37.700000000000003</v>
      </c>
    </row>
    <row r="438" spans="1:2" ht="15.5" thickBot="1">
      <c r="A438" s="21">
        <v>44931.666666666664</v>
      </c>
      <c r="B438" s="22">
        <v>33.53</v>
      </c>
    </row>
    <row r="439" spans="1:2" ht="15.5" thickBot="1">
      <c r="A439" s="21">
        <v>44932.666666666664</v>
      </c>
      <c r="B439" s="22">
        <v>33.26</v>
      </c>
    </row>
    <row r="440" spans="1:2" ht="15.5" thickBot="1">
      <c r="A440" s="21">
        <v>44935.666666666664</v>
      </c>
      <c r="B440" s="22">
        <v>38.270000000000003</v>
      </c>
    </row>
    <row r="441" spans="1:2" ht="15.5" thickBot="1">
      <c r="A441" s="21">
        <v>44936.666666666664</v>
      </c>
      <c r="B441" s="22">
        <v>43.23</v>
      </c>
    </row>
    <row r="442" spans="1:2" ht="15.5" thickBot="1">
      <c r="A442" s="21">
        <v>44937.666666666664</v>
      </c>
      <c r="B442" s="22">
        <v>43.79</v>
      </c>
    </row>
    <row r="443" spans="1:2" ht="15.5" thickBot="1">
      <c r="A443" s="21">
        <v>44938.666666666664</v>
      </c>
      <c r="B443" s="22">
        <v>47.55</v>
      </c>
    </row>
    <row r="444" spans="1:2" ht="15.5" thickBot="1">
      <c r="A444" s="21">
        <v>44939.666666666664</v>
      </c>
      <c r="B444" s="22">
        <v>49.98</v>
      </c>
    </row>
    <row r="445" spans="1:2" ht="15.5" thickBot="1">
      <c r="A445" s="21">
        <v>44943.666666666664</v>
      </c>
      <c r="B445" s="22">
        <v>54.14</v>
      </c>
    </row>
    <row r="446" spans="1:2" ht="15.5" thickBot="1">
      <c r="A446" s="21">
        <v>44944.666666666664</v>
      </c>
      <c r="B446" s="22">
        <v>50.21</v>
      </c>
    </row>
    <row r="447" spans="1:2" ht="15.5" thickBot="1">
      <c r="A447" s="21">
        <v>44945.666666666664</v>
      </c>
      <c r="B447" s="22">
        <v>49.42</v>
      </c>
    </row>
    <row r="448" spans="1:2" ht="15.5" thickBot="1">
      <c r="A448" s="21">
        <v>44946.666666666664</v>
      </c>
      <c r="B448" s="22">
        <v>55.16</v>
      </c>
    </row>
    <row r="449" spans="1:2" ht="15.5" thickBot="1">
      <c r="A449" s="21">
        <v>44949.666666666664</v>
      </c>
      <c r="B449" s="22">
        <v>55.96</v>
      </c>
    </row>
    <row r="450" spans="1:2" ht="15.5" thickBot="1">
      <c r="A450" s="21">
        <v>44950.666666666664</v>
      </c>
      <c r="B450" s="22">
        <v>53.56</v>
      </c>
    </row>
    <row r="451" spans="1:2" ht="15.5" thickBot="1">
      <c r="A451" s="21">
        <v>44951.666666666664</v>
      </c>
      <c r="B451" s="22">
        <v>52.76</v>
      </c>
    </row>
    <row r="452" spans="1:2" ht="15.5" thickBot="1">
      <c r="A452" s="21">
        <v>44952.666666666664</v>
      </c>
      <c r="B452" s="22">
        <v>53.02</v>
      </c>
    </row>
    <row r="453" spans="1:2" ht="15.5" thickBot="1">
      <c r="A453" s="21">
        <v>44953.666666666664</v>
      </c>
      <c r="B453" s="22">
        <v>61.37</v>
      </c>
    </row>
    <row r="454" spans="1:2" ht="15.5" thickBot="1">
      <c r="A454" s="21">
        <v>44956.666666666664</v>
      </c>
      <c r="B454" s="22">
        <v>56.16</v>
      </c>
    </row>
    <row r="455" spans="1:2" ht="15.5" thickBot="1">
      <c r="A455" s="21">
        <v>44957.666666666664</v>
      </c>
      <c r="B455" s="22">
        <v>58.48</v>
      </c>
    </row>
    <row r="456" spans="1:2" ht="15.5" thickBot="1">
      <c r="A456" s="21">
        <v>44958.666666666664</v>
      </c>
      <c r="B456" s="22">
        <v>65.7</v>
      </c>
    </row>
    <row r="457" spans="1:2" ht="15.5" thickBot="1">
      <c r="A457" s="21">
        <v>44959.666666666664</v>
      </c>
      <c r="B457" s="22">
        <v>81.459999999999994</v>
      </c>
    </row>
    <row r="458" spans="1:2" ht="15.5" thickBot="1">
      <c r="A458" s="21">
        <v>44960.666666666664</v>
      </c>
      <c r="B458" s="22">
        <v>74.63</v>
      </c>
    </row>
    <row r="459" spans="1:2" ht="15.5" thickBot="1">
      <c r="A459" s="21">
        <v>44963.666666666664</v>
      </c>
      <c r="B459" s="22">
        <v>74.59</v>
      </c>
    </row>
    <row r="460" spans="1:2" ht="15.5" thickBot="1">
      <c r="A460" s="21">
        <v>44964.666666666664</v>
      </c>
      <c r="B460" s="22">
        <v>71.42</v>
      </c>
    </row>
    <row r="461" spans="1:2" ht="15.5" thickBot="1">
      <c r="A461" s="21">
        <v>44965.666666666664</v>
      </c>
      <c r="B461" s="22">
        <v>69.44</v>
      </c>
    </row>
    <row r="462" spans="1:2" ht="15.5" thickBot="1">
      <c r="A462" s="21">
        <v>44966.666666666664</v>
      </c>
      <c r="B462" s="22">
        <v>59.63</v>
      </c>
    </row>
    <row r="463" spans="1:2" ht="15.5" thickBot="1">
      <c r="A463" s="21">
        <v>44967.666666666664</v>
      </c>
      <c r="B463" s="22">
        <v>57.09</v>
      </c>
    </row>
    <row r="464" spans="1:2" ht="15.5" thickBot="1">
      <c r="A464" s="21">
        <v>44970.666666666664</v>
      </c>
      <c r="B464" s="22">
        <v>56.4</v>
      </c>
    </row>
    <row r="465" spans="1:2" ht="15.5" thickBot="1">
      <c r="A465" s="21">
        <v>44971.666666666664</v>
      </c>
      <c r="B465" s="22">
        <v>59.03</v>
      </c>
    </row>
    <row r="466" spans="1:2" ht="15.5" thickBot="1">
      <c r="A466" s="21">
        <v>44972.666666666664</v>
      </c>
      <c r="B466" s="22">
        <v>69.34</v>
      </c>
    </row>
    <row r="467" spans="1:2" ht="15.5" thickBot="1">
      <c r="A467" s="21">
        <v>44973.666666666664</v>
      </c>
      <c r="B467" s="22">
        <v>65.59</v>
      </c>
    </row>
    <row r="468" spans="1:2" ht="15.5" thickBot="1">
      <c r="A468" s="21">
        <v>44974.666666666664</v>
      </c>
      <c r="B468" s="22">
        <v>65.2</v>
      </c>
    </row>
    <row r="469" spans="1:2" ht="15.5" thickBot="1">
      <c r="A469" s="21">
        <v>44978.666666666664</v>
      </c>
      <c r="B469" s="22">
        <v>62.07</v>
      </c>
    </row>
    <row r="470" spans="1:2" ht="15.5" thickBot="1">
      <c r="A470" s="21">
        <v>44979.666666666664</v>
      </c>
      <c r="B470" s="22">
        <v>61.18</v>
      </c>
    </row>
    <row r="471" spans="1:2" ht="15.5" thickBot="1">
      <c r="A471" s="21">
        <v>44980.666666666664</v>
      </c>
      <c r="B471" s="22">
        <v>62.36</v>
      </c>
    </row>
    <row r="472" spans="1:2" ht="15.5" thickBot="1">
      <c r="A472" s="21">
        <v>44981.666666666664</v>
      </c>
      <c r="B472" s="22">
        <v>58.44</v>
      </c>
    </row>
    <row r="473" spans="1:2" ht="15.5" thickBot="1">
      <c r="A473" s="21">
        <v>44984.666666666664</v>
      </c>
      <c r="B473" s="22">
        <v>58.96</v>
      </c>
    </row>
    <row r="474" spans="1:2" ht="15.5" thickBot="1">
      <c r="A474" s="21">
        <v>44985.666666666664</v>
      </c>
      <c r="B474" s="22">
        <v>64.83</v>
      </c>
    </row>
    <row r="475" spans="1:2" ht="15.5" thickBot="1">
      <c r="A475" s="21">
        <v>44986.666666666664</v>
      </c>
      <c r="B475" s="22">
        <v>64.67</v>
      </c>
    </row>
    <row r="476" spans="1:2" ht="15.5" thickBot="1">
      <c r="A476" s="21">
        <v>44987.666666666664</v>
      </c>
      <c r="B476" s="22">
        <v>63.7</v>
      </c>
    </row>
    <row r="477" spans="1:2" ht="15.5" thickBot="1">
      <c r="A477" s="21">
        <v>44988.666666666664</v>
      </c>
      <c r="B477" s="22">
        <v>64.510000000000005</v>
      </c>
    </row>
    <row r="478" spans="1:2" ht="15.5" thickBot="1">
      <c r="A478" s="21">
        <v>44991.666666666664</v>
      </c>
      <c r="B478" s="22">
        <v>62.77</v>
      </c>
    </row>
    <row r="479" spans="1:2" ht="15.5" thickBot="1">
      <c r="A479" s="21">
        <v>44992.666666666664</v>
      </c>
      <c r="B479" s="22">
        <v>61.89</v>
      </c>
    </row>
    <row r="480" spans="1:2" ht="15.5" thickBot="1">
      <c r="A480" s="21">
        <v>44993.666666666664</v>
      </c>
      <c r="B480" s="22">
        <v>63.01</v>
      </c>
    </row>
    <row r="481" spans="1:2" ht="15.5" thickBot="1">
      <c r="A481" s="21">
        <v>44994.666666666664</v>
      </c>
      <c r="B481" s="22">
        <v>58.09</v>
      </c>
    </row>
    <row r="482" spans="1:2" ht="15.5" thickBot="1">
      <c r="A482" s="21">
        <v>44995.666666666664</v>
      </c>
      <c r="B482" s="22">
        <v>53.44</v>
      </c>
    </row>
    <row r="483" spans="1:2" ht="15.5" thickBot="1">
      <c r="A483" s="21">
        <v>44998.666666666664</v>
      </c>
      <c r="B483" s="22">
        <v>59.17</v>
      </c>
    </row>
    <row r="484" spans="1:2" ht="15.5" thickBot="1">
      <c r="A484" s="21">
        <v>44999.666666666664</v>
      </c>
      <c r="B484" s="22">
        <v>62.65</v>
      </c>
    </row>
    <row r="485" spans="1:2" ht="15.5" thickBot="1">
      <c r="A485" s="21">
        <v>45000.666666666664</v>
      </c>
      <c r="B485" s="22">
        <v>64.47</v>
      </c>
    </row>
    <row r="486" spans="1:2" ht="15.5" thickBot="1">
      <c r="A486" s="21">
        <v>45001.666666666664</v>
      </c>
      <c r="B486" s="22">
        <v>67.78</v>
      </c>
    </row>
    <row r="487" spans="1:2" ht="15.5" thickBot="1">
      <c r="A487" s="21">
        <v>45002.666666666664</v>
      </c>
      <c r="B487" s="22">
        <v>74.98</v>
      </c>
    </row>
    <row r="488" spans="1:2" ht="15.5" thickBot="1">
      <c r="A488" s="21">
        <v>45005.666666666664</v>
      </c>
      <c r="B488" s="22">
        <v>75.14</v>
      </c>
    </row>
    <row r="489" spans="1:2" ht="15.5" thickBot="1">
      <c r="A489" s="21">
        <v>45006.666666666664</v>
      </c>
      <c r="B489" s="22">
        <v>83.99</v>
      </c>
    </row>
    <row r="490" spans="1:2" ht="15.5" thickBot="1">
      <c r="A490" s="21">
        <v>45007.666666666664</v>
      </c>
      <c r="B490" s="22">
        <v>77.14</v>
      </c>
    </row>
    <row r="491" spans="1:2" ht="15.5" thickBot="1">
      <c r="A491" s="21">
        <v>45008.666666666664</v>
      </c>
      <c r="B491" s="22">
        <v>66.3</v>
      </c>
    </row>
    <row r="492" spans="1:2" ht="15.5" thickBot="1">
      <c r="A492" s="21">
        <v>45009.666666666664</v>
      </c>
      <c r="B492" s="22">
        <v>67.83</v>
      </c>
    </row>
    <row r="493" spans="1:2" ht="15.5" thickBot="1">
      <c r="A493" s="21">
        <v>45012.666666666664</v>
      </c>
      <c r="B493" s="22">
        <v>62.54</v>
      </c>
    </row>
    <row r="494" spans="1:2" ht="15.5" thickBot="1">
      <c r="A494" s="21">
        <v>45013.666666666664</v>
      </c>
      <c r="B494" s="22">
        <v>63.04</v>
      </c>
    </row>
    <row r="495" spans="1:2" ht="15.5" thickBot="1">
      <c r="A495" s="21">
        <v>45014.666666666664</v>
      </c>
      <c r="B495" s="22">
        <v>65.3</v>
      </c>
    </row>
    <row r="496" spans="1:2" ht="15.5" thickBot="1">
      <c r="A496" s="21">
        <v>45015.666666666664</v>
      </c>
      <c r="B496" s="22">
        <v>64.16</v>
      </c>
    </row>
    <row r="497" spans="1:2" ht="15.5" thickBot="1">
      <c r="A497" s="21">
        <v>45016.666666666664</v>
      </c>
      <c r="B497" s="22">
        <v>67.569999999999993</v>
      </c>
    </row>
    <row r="498" spans="1:2" ht="15.5" thickBot="1">
      <c r="A498" s="21">
        <v>45019.666666666664</v>
      </c>
      <c r="B498" s="22">
        <v>63.61</v>
      </c>
    </row>
    <row r="499" spans="1:2" ht="15.5" thickBot="1">
      <c r="A499" s="21">
        <v>45020.666666666664</v>
      </c>
      <c r="B499" s="22">
        <v>62.54</v>
      </c>
    </row>
    <row r="500" spans="1:2" ht="15.5" thickBot="1">
      <c r="A500" s="21">
        <v>45021.666666666664</v>
      </c>
      <c r="B500" s="22">
        <v>60.78</v>
      </c>
    </row>
    <row r="501" spans="1:2" ht="15.5" thickBot="1">
      <c r="A501" s="21">
        <v>45022.666666666664</v>
      </c>
      <c r="B501" s="22">
        <v>61.44</v>
      </c>
    </row>
    <row r="502" spans="1:2" ht="15.5" thickBot="1">
      <c r="A502" s="21">
        <v>45026.666666666664</v>
      </c>
      <c r="B502" s="22">
        <v>66.13</v>
      </c>
    </row>
    <row r="503" spans="1:2" ht="15.5" thickBot="1">
      <c r="A503" s="21">
        <v>45027.666666666664</v>
      </c>
      <c r="B503" s="22">
        <v>70.19</v>
      </c>
    </row>
    <row r="504" spans="1:2" ht="15.5" thickBot="1">
      <c r="A504" s="21">
        <v>45028.666666666664</v>
      </c>
      <c r="B504" s="22">
        <v>67.84</v>
      </c>
    </row>
    <row r="505" spans="1:2" ht="15.5" thickBot="1">
      <c r="A505" s="21">
        <v>45029.666666666664</v>
      </c>
      <c r="B505" s="22">
        <v>68.95</v>
      </c>
    </row>
    <row r="506" spans="1:2" ht="15.5" thickBot="1">
      <c r="A506" s="21">
        <v>45030.666666666664</v>
      </c>
      <c r="B506" s="22">
        <v>69.91</v>
      </c>
    </row>
    <row r="507" spans="1:2" ht="15.5" thickBot="1">
      <c r="A507" s="21">
        <v>45033.666666666664</v>
      </c>
      <c r="B507" s="22">
        <v>67.72</v>
      </c>
    </row>
    <row r="508" spans="1:2" ht="15.5" thickBot="1">
      <c r="A508" s="21">
        <v>45034.666666666664</v>
      </c>
      <c r="B508" s="22">
        <v>67.260000000000005</v>
      </c>
    </row>
    <row r="509" spans="1:2" ht="15.5" thickBot="1">
      <c r="A509" s="21">
        <v>45035.666666666664</v>
      </c>
      <c r="B509" s="22">
        <v>64.44</v>
      </c>
    </row>
    <row r="510" spans="1:2" ht="15.5" thickBot="1">
      <c r="A510" s="21">
        <v>45036.666666666664</v>
      </c>
      <c r="B510" s="22">
        <v>60.5</v>
      </c>
    </row>
    <row r="511" spans="1:2" ht="15.5" thickBot="1">
      <c r="A511" s="21">
        <v>45037.666666666664</v>
      </c>
      <c r="B511" s="22">
        <v>59.04</v>
      </c>
    </row>
    <row r="512" spans="1:2" ht="15.5" thickBot="1">
      <c r="A512" s="21">
        <v>45040.666666666664</v>
      </c>
      <c r="B512" s="22">
        <v>54.75</v>
      </c>
    </row>
    <row r="513" spans="1:2" ht="15.5" thickBot="1">
      <c r="A513" s="21">
        <v>45041.666666666664</v>
      </c>
      <c r="B513" s="22">
        <v>55.55</v>
      </c>
    </row>
    <row r="514" spans="1:2" ht="15.5" thickBot="1">
      <c r="A514" s="21">
        <v>45042.666666666664</v>
      </c>
      <c r="B514" s="22">
        <v>53.89</v>
      </c>
    </row>
    <row r="515" spans="1:2" ht="15.5" thickBot="1">
      <c r="A515" s="21">
        <v>45043.666666666664</v>
      </c>
      <c r="B515" s="22">
        <v>54.17</v>
      </c>
    </row>
    <row r="516" spans="1:2" ht="15.5" thickBot="1">
      <c r="A516" s="21">
        <v>45044.666666666664</v>
      </c>
      <c r="B516" s="22">
        <v>53.79</v>
      </c>
    </row>
    <row r="517" spans="1:2" ht="15.5" thickBot="1">
      <c r="A517" s="21">
        <v>45047.666666666664</v>
      </c>
      <c r="B517" s="22">
        <v>50.14</v>
      </c>
    </row>
    <row r="518" spans="1:2" ht="15.5" thickBot="1">
      <c r="A518" s="21">
        <v>45048.666666666664</v>
      </c>
      <c r="B518" s="22">
        <v>51.32</v>
      </c>
    </row>
    <row r="519" spans="1:2" ht="15.5" thickBot="1">
      <c r="A519" s="21">
        <v>45049.666666666664</v>
      </c>
      <c r="B519" s="22">
        <v>48.49</v>
      </c>
    </row>
    <row r="520" spans="1:2" ht="15.5" thickBot="1">
      <c r="A520" s="21">
        <v>45050.666666666664</v>
      </c>
      <c r="B520" s="22">
        <v>49.22</v>
      </c>
    </row>
    <row r="521" spans="1:2" ht="15.5" thickBot="1">
      <c r="A521" s="21">
        <v>45051.666666666664</v>
      </c>
      <c r="B521" s="22">
        <v>58.24</v>
      </c>
    </row>
    <row r="522" spans="1:2" ht="15.5" thickBot="1">
      <c r="A522" s="21">
        <v>45054.666666666664</v>
      </c>
      <c r="B522" s="22">
        <v>58.1</v>
      </c>
    </row>
    <row r="523" spans="1:2" ht="15.5" thickBot="1">
      <c r="A523" s="21">
        <v>45055.666666666664</v>
      </c>
      <c r="B523" s="22">
        <v>60.21</v>
      </c>
    </row>
    <row r="524" spans="1:2" ht="15.5" thickBot="1">
      <c r="A524" s="21">
        <v>45056.666666666664</v>
      </c>
      <c r="B524" s="22">
        <v>62.64</v>
      </c>
    </row>
    <row r="525" spans="1:2" ht="15.5" thickBot="1">
      <c r="A525" s="21">
        <v>45057.666666666664</v>
      </c>
      <c r="B525" s="22">
        <v>60.35</v>
      </c>
    </row>
    <row r="526" spans="1:2" ht="15.5" thickBot="1">
      <c r="A526" s="21">
        <v>45058.666666666664</v>
      </c>
      <c r="B526" s="22">
        <v>57.34</v>
      </c>
    </row>
    <row r="527" spans="1:2" ht="15.5" thickBot="1">
      <c r="A527" s="21">
        <v>45061.666666666664</v>
      </c>
      <c r="B527" s="22">
        <v>60.77</v>
      </c>
    </row>
    <row r="528" spans="1:2" ht="15.5" thickBot="1">
      <c r="A528" s="21">
        <v>45062.666666666664</v>
      </c>
      <c r="B528" s="22">
        <v>57.88</v>
      </c>
    </row>
    <row r="529" spans="1:2" ht="15.5" thickBot="1">
      <c r="A529" s="21">
        <v>45063.666666666664</v>
      </c>
      <c r="B529" s="22">
        <v>61.04</v>
      </c>
    </row>
    <row r="530" spans="1:2" ht="15.5" thickBot="1">
      <c r="A530" s="21">
        <v>45064.666666666664</v>
      </c>
      <c r="B530" s="22">
        <v>60.26</v>
      </c>
    </row>
    <row r="531" spans="1:2" ht="15.5" thickBot="1">
      <c r="A531" s="21">
        <v>45065.666666666664</v>
      </c>
      <c r="B531" s="22">
        <v>56.78</v>
      </c>
    </row>
    <row r="532" spans="1:2" ht="15.5" thickBot="1">
      <c r="A532" s="21">
        <v>45068.666666666664</v>
      </c>
      <c r="B532" s="22">
        <v>61.07</v>
      </c>
    </row>
    <row r="533" spans="1:2" ht="15.5" thickBot="1">
      <c r="A533" s="21">
        <v>45069.666666666664</v>
      </c>
      <c r="B533" s="22">
        <v>59.1</v>
      </c>
    </row>
    <row r="534" spans="1:2" ht="15.5" thickBot="1">
      <c r="A534" s="21">
        <v>45070.666666666664</v>
      </c>
      <c r="B534" s="22">
        <v>58.36</v>
      </c>
    </row>
    <row r="535" spans="1:2" ht="15.5" thickBot="1">
      <c r="A535" s="21">
        <v>45071.666666666664</v>
      </c>
      <c r="B535" s="22">
        <v>56.87</v>
      </c>
    </row>
    <row r="536" spans="1:2" ht="15.5" thickBot="1">
      <c r="A536" s="21">
        <v>45072.666666666664</v>
      </c>
      <c r="B536" s="22">
        <v>56.92</v>
      </c>
    </row>
    <row r="537" spans="1:2" ht="15.5" thickBot="1">
      <c r="A537" s="21">
        <v>45076.666666666664</v>
      </c>
      <c r="B537" s="22">
        <v>61.17</v>
      </c>
    </row>
    <row r="538" spans="1:2" ht="15.5" thickBot="1">
      <c r="A538" s="21">
        <v>45077.666666666664</v>
      </c>
      <c r="B538" s="22">
        <v>62.2</v>
      </c>
    </row>
    <row r="539" spans="1:2" ht="15.5" thickBot="1">
      <c r="A539" s="21">
        <v>45078.666666666664</v>
      </c>
      <c r="B539" s="22">
        <v>63.57</v>
      </c>
    </row>
    <row r="540" spans="1:2" ht="15.5" thickBot="1">
      <c r="A540" s="21">
        <v>45079.666666666664</v>
      </c>
      <c r="B540" s="22">
        <v>64.55</v>
      </c>
    </row>
    <row r="541" spans="1:2" ht="15.5" thickBot="1">
      <c r="A541" s="21">
        <v>45082.666666666664</v>
      </c>
      <c r="B541" s="22">
        <v>58.71</v>
      </c>
    </row>
    <row r="542" spans="1:2" ht="15.5" thickBot="1">
      <c r="A542" s="21">
        <v>45083.666666666664</v>
      </c>
      <c r="B542" s="22">
        <v>51.61</v>
      </c>
    </row>
    <row r="543" spans="1:2" ht="15.5" thickBot="1">
      <c r="A543" s="21">
        <v>45084.666666666664</v>
      </c>
      <c r="B543" s="22">
        <v>53.26</v>
      </c>
    </row>
    <row r="544" spans="1:2" ht="15.5" thickBot="1">
      <c r="A544" s="21">
        <v>45085.666666666664</v>
      </c>
      <c r="B544" s="22">
        <v>54.9</v>
      </c>
    </row>
    <row r="545" spans="1:2" ht="15.5" thickBot="1">
      <c r="A545" s="21">
        <v>45086.666666666664</v>
      </c>
      <c r="B545" s="22">
        <v>53.28</v>
      </c>
    </row>
    <row r="546" spans="1:2" ht="15.5" thickBot="1">
      <c r="A546" s="21">
        <v>45089.666666666664</v>
      </c>
      <c r="B546" s="22">
        <v>50.56</v>
      </c>
    </row>
    <row r="547" spans="1:2" ht="15.5" thickBot="1">
      <c r="A547" s="21">
        <v>45090.666666666664</v>
      </c>
      <c r="B547" s="22">
        <v>52.4</v>
      </c>
    </row>
    <row r="548" spans="1:2" ht="15.5" thickBot="1">
      <c r="A548" s="21">
        <v>45091.666666666664</v>
      </c>
      <c r="B548" s="22">
        <v>53.9</v>
      </c>
    </row>
    <row r="549" spans="1:2" ht="15.5" thickBot="1">
      <c r="A549" s="21">
        <v>45092.666666666664</v>
      </c>
      <c r="B549" s="22">
        <v>54.25</v>
      </c>
    </row>
    <row r="550" spans="1:2" ht="15.5" thickBot="1">
      <c r="A550" s="21">
        <v>45093.666666666664</v>
      </c>
      <c r="B550" s="22">
        <v>55.59</v>
      </c>
    </row>
    <row r="551" spans="1:2" ht="15.5" thickBot="1">
      <c r="A551" s="21">
        <v>45097.666666666664</v>
      </c>
      <c r="B551" s="22">
        <v>57.09</v>
      </c>
    </row>
    <row r="552" spans="1:2" ht="15.5" thickBot="1">
      <c r="A552" s="21">
        <v>45098.666666666664</v>
      </c>
      <c r="B552" s="22">
        <v>58.1</v>
      </c>
    </row>
    <row r="553" spans="1:2" ht="15.5" thickBot="1">
      <c r="A553" s="21">
        <v>45099.666666666664</v>
      </c>
      <c r="B553" s="22">
        <v>57.49</v>
      </c>
    </row>
    <row r="554" spans="1:2" ht="15.5" thickBot="1">
      <c r="A554" s="21">
        <v>45100.666666666664</v>
      </c>
      <c r="B554" s="22">
        <v>61.47</v>
      </c>
    </row>
    <row r="555" spans="1:2" ht="15.5" thickBot="1">
      <c r="A555" s="21">
        <v>45103.666666666664</v>
      </c>
      <c r="B555" s="22">
        <v>61.94</v>
      </c>
    </row>
    <row r="556" spans="1:2" ht="15.5" thickBot="1">
      <c r="A556" s="21">
        <v>45104.666666666664</v>
      </c>
      <c r="B556" s="22">
        <v>69.89</v>
      </c>
    </row>
    <row r="557" spans="1:2" ht="15.5" thickBot="1">
      <c r="A557" s="21">
        <v>45105.666666666664</v>
      </c>
      <c r="B557" s="22">
        <v>70.75</v>
      </c>
    </row>
    <row r="558" spans="1:2" ht="15.5" thickBot="1">
      <c r="A558" s="21">
        <v>45106.666666666664</v>
      </c>
      <c r="B558" s="22">
        <v>72.430000000000007</v>
      </c>
    </row>
    <row r="559" spans="1:2" ht="15.5" thickBot="1">
      <c r="A559" s="21">
        <v>45107.666666666664</v>
      </c>
      <c r="B559" s="22">
        <v>71.55</v>
      </c>
    </row>
    <row r="560" spans="1:2" ht="15.5" thickBot="1">
      <c r="A560" s="21">
        <v>45110.545138888891</v>
      </c>
      <c r="B560" s="22">
        <v>79.930000000000007</v>
      </c>
    </row>
    <row r="561" spans="1:2" ht="15.5" thickBot="1">
      <c r="A561" s="21">
        <v>45112.666666666664</v>
      </c>
      <c r="B561" s="22">
        <v>78.349999999999994</v>
      </c>
    </row>
    <row r="562" spans="1:2" ht="15.5" thickBot="1">
      <c r="A562" s="21">
        <v>45113.666666666664</v>
      </c>
      <c r="B562" s="22">
        <v>78.099999999999994</v>
      </c>
    </row>
    <row r="563" spans="1:2" ht="15.5" thickBot="1">
      <c r="A563" s="21">
        <v>45114.666666666664</v>
      </c>
      <c r="B563" s="22">
        <v>78.72</v>
      </c>
    </row>
    <row r="564" spans="1:2" ht="15.5" thickBot="1">
      <c r="A564" s="21">
        <v>45117.666666666664</v>
      </c>
      <c r="B564" s="22">
        <v>81.209999999999994</v>
      </c>
    </row>
    <row r="565" spans="1:2" ht="15.5" thickBot="1">
      <c r="A565" s="21">
        <v>45118.666666666664</v>
      </c>
      <c r="B565" s="22">
        <v>89.15</v>
      </c>
    </row>
    <row r="566" spans="1:2" ht="15.5" thickBot="1">
      <c r="A566" s="21">
        <v>45119.666666666664</v>
      </c>
      <c r="B566" s="22">
        <v>85.95</v>
      </c>
    </row>
    <row r="567" spans="1:2" ht="15.5" thickBot="1">
      <c r="A567" s="21">
        <v>45120.666666666664</v>
      </c>
      <c r="B567" s="22">
        <v>107</v>
      </c>
    </row>
    <row r="568" spans="1:2" ht="15.5" thickBot="1">
      <c r="A568" s="21">
        <v>45121.666666666664</v>
      </c>
      <c r="B568" s="22">
        <v>105.31</v>
      </c>
    </row>
    <row r="569" spans="1:2" ht="15.5" thickBot="1">
      <c r="A569" s="21">
        <v>45124.666666666664</v>
      </c>
      <c r="B569" s="22">
        <v>105.55</v>
      </c>
    </row>
    <row r="570" spans="1:2" ht="15.5" thickBot="1">
      <c r="A570" s="21">
        <v>45125.666666666664</v>
      </c>
      <c r="B570" s="22">
        <v>104.59</v>
      </c>
    </row>
    <row r="571" spans="1:2" ht="15.5" thickBot="1">
      <c r="A571" s="21">
        <v>45126.666666666664</v>
      </c>
      <c r="B571" s="22">
        <v>110.15</v>
      </c>
    </row>
    <row r="572" spans="1:2" ht="15.5" thickBot="1">
      <c r="A572" s="21">
        <v>45127.666666666664</v>
      </c>
      <c r="B572" s="22">
        <v>101.26</v>
      </c>
    </row>
    <row r="573" spans="1:2" ht="15.5" thickBot="1">
      <c r="A573" s="21">
        <v>45128.666666666664</v>
      </c>
      <c r="B573" s="22">
        <v>100.82</v>
      </c>
    </row>
    <row r="574" spans="1:2" ht="15.5" thickBot="1">
      <c r="A574" s="21">
        <v>45131.666666666664</v>
      </c>
      <c r="B574" s="22">
        <v>98.85</v>
      </c>
    </row>
    <row r="575" spans="1:2" ht="15.5" thickBot="1">
      <c r="A575" s="21">
        <v>45132.666666666664</v>
      </c>
      <c r="B575" s="22">
        <v>97.68</v>
      </c>
    </row>
    <row r="576" spans="1:2" ht="15.5" thickBot="1">
      <c r="A576" s="21">
        <v>45133.666666666664</v>
      </c>
      <c r="B576" s="22">
        <v>99.75</v>
      </c>
    </row>
    <row r="577" spans="1:2" ht="15.5" thickBot="1">
      <c r="A577" s="21">
        <v>45134.666666666664</v>
      </c>
      <c r="B577" s="22">
        <v>92.69</v>
      </c>
    </row>
    <row r="578" spans="1:2" ht="15.5" thickBot="1">
      <c r="A578" s="21">
        <v>45135.666666666664</v>
      </c>
      <c r="B578" s="22">
        <v>94.76</v>
      </c>
    </row>
    <row r="579" spans="1:2" ht="15.5" thickBot="1">
      <c r="A579" s="21">
        <v>45138.666666666664</v>
      </c>
      <c r="B579" s="22">
        <v>98.61</v>
      </c>
    </row>
    <row r="580" spans="1:2" ht="15.5" thickBot="1">
      <c r="A580" s="21">
        <v>45139.666666666664</v>
      </c>
      <c r="B580" s="22">
        <v>94.15</v>
      </c>
    </row>
    <row r="581" spans="1:2" ht="15.5" thickBot="1">
      <c r="A581" s="21">
        <v>45140.666666666664</v>
      </c>
      <c r="B581" s="22">
        <v>90.43</v>
      </c>
    </row>
    <row r="582" spans="1:2" ht="15.5" thickBot="1">
      <c r="A582" s="21">
        <v>45141.666666666664</v>
      </c>
      <c r="B582" s="22">
        <v>90.75</v>
      </c>
    </row>
    <row r="583" spans="1:2" ht="15.5" thickBot="1">
      <c r="A583" s="21">
        <v>45142.666666666664</v>
      </c>
      <c r="B583" s="22">
        <v>87.31</v>
      </c>
    </row>
    <row r="584" spans="1:2" ht="15.5" thickBot="1">
      <c r="A584" s="21">
        <v>45145.666666666664</v>
      </c>
      <c r="B584" s="22">
        <v>85.96</v>
      </c>
    </row>
    <row r="585" spans="1:2" ht="15.5" thickBot="1">
      <c r="A585" s="21">
        <v>45146.666666666664</v>
      </c>
      <c r="B585" s="22">
        <v>88.04</v>
      </c>
    </row>
    <row r="586" spans="1:2" ht="15.5" thickBot="1">
      <c r="A586" s="21">
        <v>45147.666666666664</v>
      </c>
      <c r="B586" s="22">
        <v>84.34</v>
      </c>
    </row>
    <row r="587" spans="1:2" ht="15.5" thickBot="1">
      <c r="A587" s="21">
        <v>45148.666666666664</v>
      </c>
      <c r="B587" s="22">
        <v>83.39</v>
      </c>
    </row>
    <row r="588" spans="1:2" ht="15.5" thickBot="1">
      <c r="A588" s="21">
        <v>45149.666666666664</v>
      </c>
      <c r="B588" s="22">
        <v>81.010000000000005</v>
      </c>
    </row>
    <row r="589" spans="1:2" ht="15.5" thickBot="1">
      <c r="A589" s="21">
        <v>45152.666666666664</v>
      </c>
      <c r="B589" s="22">
        <v>80.81</v>
      </c>
    </row>
    <row r="590" spans="1:2" ht="15.5" thickBot="1">
      <c r="A590" s="21">
        <v>45153.666666666664</v>
      </c>
      <c r="B590" s="22">
        <v>79.180000000000007</v>
      </c>
    </row>
    <row r="591" spans="1:2" ht="15.5" thickBot="1">
      <c r="A591" s="21">
        <v>45154.666666666664</v>
      </c>
      <c r="B591" s="22">
        <v>79</v>
      </c>
    </row>
    <row r="592" spans="1:2" ht="15.5" thickBot="1">
      <c r="A592" s="21">
        <v>45155.666666666664</v>
      </c>
      <c r="B592" s="22">
        <v>75.56</v>
      </c>
    </row>
    <row r="593" spans="1:2" ht="15.5" thickBot="1">
      <c r="A593" s="21">
        <v>45156.666666666664</v>
      </c>
      <c r="B593" s="22">
        <v>73.19</v>
      </c>
    </row>
    <row r="594" spans="1:2" ht="15.5" thickBot="1">
      <c r="A594" s="21">
        <v>45159.666666666664</v>
      </c>
      <c r="B594" s="22">
        <v>75.28</v>
      </c>
    </row>
    <row r="595" spans="1:2" ht="15.5" thickBot="1">
      <c r="A595" s="21">
        <v>45160.666666666664</v>
      </c>
      <c r="B595" s="22">
        <v>74.900000000000006</v>
      </c>
    </row>
    <row r="596" spans="1:2" ht="15.5" thickBot="1">
      <c r="A596" s="21">
        <v>45161.666666666664</v>
      </c>
      <c r="B596" s="22">
        <v>77.78</v>
      </c>
    </row>
    <row r="597" spans="1:2" ht="15.5" thickBot="1">
      <c r="A597" s="21">
        <v>45162.666666666664</v>
      </c>
      <c r="B597" s="22">
        <v>73.66</v>
      </c>
    </row>
    <row r="598" spans="1:2" ht="15.5" thickBot="1">
      <c r="A598" s="21">
        <v>45163.666666666664</v>
      </c>
      <c r="B598" s="22">
        <v>74.260000000000005</v>
      </c>
    </row>
    <row r="599" spans="1:2" ht="15.5" thickBot="1">
      <c r="A599" s="21">
        <v>45166.666666666664</v>
      </c>
      <c r="B599" s="22">
        <v>73.709999999999994</v>
      </c>
    </row>
    <row r="600" spans="1:2" ht="15.5" thickBot="1">
      <c r="A600" s="21">
        <v>45167.666666666664</v>
      </c>
      <c r="B600" s="22">
        <v>84.7</v>
      </c>
    </row>
    <row r="601" spans="1:2" ht="15.5" thickBot="1">
      <c r="A601" s="21">
        <v>45168.666666666664</v>
      </c>
      <c r="B601" s="22">
        <v>83.83</v>
      </c>
    </row>
    <row r="602" spans="1:2" ht="15.5" thickBot="1">
      <c r="A602" s="21">
        <v>45169.666666666664</v>
      </c>
      <c r="B602" s="22">
        <v>79.599999999999994</v>
      </c>
    </row>
    <row r="603" spans="1:2" ht="15.5" thickBot="1">
      <c r="A603" s="21">
        <v>45170.666666666664</v>
      </c>
      <c r="B603" s="22">
        <v>77.989999999999995</v>
      </c>
    </row>
    <row r="604" spans="1:2" ht="15.5" thickBot="1">
      <c r="A604" s="21">
        <v>45174.666666666664</v>
      </c>
      <c r="B604" s="22">
        <v>77.5</v>
      </c>
    </row>
    <row r="605" spans="1:2" ht="15.5" thickBot="1">
      <c r="A605" s="21">
        <v>45175.666666666664</v>
      </c>
      <c r="B605" s="22">
        <v>78.040000000000006</v>
      </c>
    </row>
    <row r="606" spans="1:2" ht="15.5" thickBot="1">
      <c r="A606" s="21">
        <v>45176.666666666664</v>
      </c>
      <c r="B606" s="22">
        <v>81.790000000000006</v>
      </c>
    </row>
    <row r="607" spans="1:2" ht="15.5" thickBot="1">
      <c r="A607" s="21">
        <v>45177.666666666664</v>
      </c>
      <c r="B607" s="22">
        <v>82.09</v>
      </c>
    </row>
    <row r="608" spans="1:2" ht="15.5" thickBot="1">
      <c r="A608" s="21">
        <v>45180.666666666664</v>
      </c>
      <c r="B608" s="22">
        <v>80.62</v>
      </c>
    </row>
    <row r="609" spans="1:2" ht="15.5" thickBot="1">
      <c r="A609" s="21">
        <v>45181.666666666664</v>
      </c>
      <c r="B609" s="22">
        <v>81.319999999999993</v>
      </c>
    </row>
    <row r="610" spans="1:2" ht="15.5" thickBot="1">
      <c r="A610" s="21">
        <v>45182.666666666664</v>
      </c>
      <c r="B610" s="22">
        <v>79.86</v>
      </c>
    </row>
    <row r="611" spans="1:2" ht="15.5" thickBot="1">
      <c r="A611" s="21">
        <v>45183.666666666664</v>
      </c>
      <c r="B611" s="22">
        <v>83.45</v>
      </c>
    </row>
    <row r="612" spans="1:2" ht="15.5" thickBot="1">
      <c r="A612" s="21">
        <v>45184.666666666664</v>
      </c>
      <c r="B612" s="22">
        <v>82.15</v>
      </c>
    </row>
    <row r="613" spans="1:2" ht="15.5" thickBot="1">
      <c r="A613" s="21">
        <v>45187.666666666664</v>
      </c>
      <c r="B613" s="22">
        <v>81.61</v>
      </c>
    </row>
    <row r="614" spans="1:2" ht="15.5" thickBot="1">
      <c r="A614" s="21">
        <v>45188.666666666664</v>
      </c>
      <c r="B614" s="22">
        <v>78.13</v>
      </c>
    </row>
    <row r="615" spans="1:2" ht="15.5" thickBot="1">
      <c r="A615" s="21">
        <v>45189.666666666664</v>
      </c>
      <c r="B615" s="22">
        <v>76.67</v>
      </c>
    </row>
    <row r="616" spans="1:2" ht="15.5" thickBot="1">
      <c r="A616" s="21">
        <v>45190.666666666664</v>
      </c>
      <c r="B616" s="22">
        <v>74.42</v>
      </c>
    </row>
    <row r="617" spans="1:2" ht="15.5" thickBot="1">
      <c r="A617" s="21">
        <v>45191.666666666664</v>
      </c>
      <c r="B617" s="22">
        <v>70.959999999999994</v>
      </c>
    </row>
    <row r="618" spans="1:2" ht="15.5" thickBot="1">
      <c r="A618" s="21">
        <v>45194.666666666664</v>
      </c>
      <c r="B618" s="22">
        <v>71.75</v>
      </c>
    </row>
    <row r="619" spans="1:2" ht="15.5" thickBot="1">
      <c r="A619" s="21">
        <v>45195.666666666664</v>
      </c>
      <c r="B619" s="22">
        <v>70.52</v>
      </c>
    </row>
    <row r="620" spans="1:2" ht="15.5" thickBot="1">
      <c r="A620" s="21">
        <v>45196.666666666664</v>
      </c>
      <c r="B620" s="22">
        <v>71.52</v>
      </c>
    </row>
    <row r="621" spans="1:2" ht="15.5" thickBot="1">
      <c r="A621" s="21">
        <v>45197.666666666664</v>
      </c>
      <c r="B621" s="22">
        <v>75.16</v>
      </c>
    </row>
    <row r="622" spans="1:2" ht="15.5" thickBot="1">
      <c r="A622" s="21">
        <v>45198.666666666664</v>
      </c>
      <c r="B622" s="22">
        <v>75.08</v>
      </c>
    </row>
    <row r="623" spans="1:2" ht="15.5" thickBot="1">
      <c r="A623" s="21">
        <v>45201.666666666664</v>
      </c>
      <c r="B623" s="22">
        <v>75.31</v>
      </c>
    </row>
    <row r="624" spans="1:2" ht="15.5" thickBot="1">
      <c r="A624" s="21">
        <v>45202.666666666664</v>
      </c>
      <c r="B624" s="22">
        <v>72.48</v>
      </c>
    </row>
    <row r="625" spans="1:2" ht="15.5" thickBot="1">
      <c r="A625" s="21">
        <v>45203.666666666664</v>
      </c>
      <c r="B625" s="22">
        <v>73.47</v>
      </c>
    </row>
    <row r="626" spans="1:2" ht="15.5" thickBot="1">
      <c r="A626" s="21">
        <v>45204.666666666664</v>
      </c>
      <c r="B626" s="22">
        <v>74.62</v>
      </c>
    </row>
    <row r="627" spans="1:2" ht="15.5" thickBot="1">
      <c r="A627" s="21">
        <v>45205.666666666664</v>
      </c>
      <c r="B627" s="22">
        <v>78.459999999999994</v>
      </c>
    </row>
    <row r="628" spans="1:2" ht="15.5" thickBot="1">
      <c r="A628" s="21">
        <v>45208.666666666664</v>
      </c>
      <c r="B628" s="22">
        <v>79.099999999999994</v>
      </c>
    </row>
    <row r="629" spans="1:2" ht="15.5" thickBot="1">
      <c r="A629" s="21">
        <v>45209.666666666664</v>
      </c>
      <c r="B629" s="22">
        <v>79.62</v>
      </c>
    </row>
    <row r="630" spans="1:2" ht="15.5" thickBot="1">
      <c r="A630" s="21">
        <v>45210.666666666664</v>
      </c>
      <c r="B630" s="22">
        <v>77.349999999999994</v>
      </c>
    </row>
    <row r="631" spans="1:2" ht="15.5" thickBot="1">
      <c r="A631" s="21">
        <v>45211.666666666664</v>
      </c>
      <c r="B631" s="22">
        <v>75.19</v>
      </c>
    </row>
    <row r="632" spans="1:2" ht="15.5" thickBot="1">
      <c r="A632" s="21">
        <v>45212.666666666664</v>
      </c>
      <c r="B632" s="22">
        <v>73.430000000000007</v>
      </c>
    </row>
    <row r="633" spans="1:2" ht="15.5" thickBot="1">
      <c r="A633" s="21">
        <v>45215.666666666664</v>
      </c>
      <c r="B633" s="22">
        <v>75.209999999999994</v>
      </c>
    </row>
    <row r="634" spans="1:2" ht="15.5" thickBot="1">
      <c r="A634" s="21">
        <v>45216.666666666664</v>
      </c>
      <c r="B634" s="22">
        <v>77.459999999999994</v>
      </c>
    </row>
    <row r="635" spans="1:2" ht="15.5" thickBot="1">
      <c r="A635" s="21">
        <v>45217.666666666664</v>
      </c>
      <c r="B635" s="22">
        <v>73.930000000000007</v>
      </c>
    </row>
    <row r="636" spans="1:2" ht="15.5" thickBot="1">
      <c r="A636" s="21">
        <v>45218.666666666664</v>
      </c>
      <c r="B636" s="22">
        <v>73.099999999999994</v>
      </c>
    </row>
    <row r="637" spans="1:2" ht="15.5" thickBot="1">
      <c r="A637" s="21">
        <v>45219.666666666664</v>
      </c>
      <c r="B637" s="22">
        <v>74.66</v>
      </c>
    </row>
    <row r="638" spans="1:2" ht="15.5" thickBot="1">
      <c r="A638" s="21">
        <v>45222.666666666664</v>
      </c>
      <c r="B638" s="22">
        <v>77.209999999999994</v>
      </c>
    </row>
    <row r="639" spans="1:2" ht="15.5" thickBot="1">
      <c r="A639" s="21">
        <v>45223.666666666664</v>
      </c>
      <c r="B639" s="22">
        <v>82.07</v>
      </c>
    </row>
    <row r="640" spans="1:2" ht="15.5" thickBot="1">
      <c r="A640" s="21">
        <v>45224.666666666664</v>
      </c>
      <c r="B640" s="22">
        <v>77.790000000000006</v>
      </c>
    </row>
    <row r="641" spans="1:2" ht="15.5" thickBot="1">
      <c r="A641" s="21">
        <v>45225.666666666664</v>
      </c>
      <c r="B641" s="22">
        <v>74.61</v>
      </c>
    </row>
    <row r="642" spans="1:2" ht="15.5" thickBot="1">
      <c r="A642" s="21">
        <v>45226.666666666664</v>
      </c>
      <c r="B642" s="22">
        <v>70.78</v>
      </c>
    </row>
    <row r="643" spans="1:2" ht="15.5" thickBot="1">
      <c r="A643" s="21">
        <v>45229.666666666664</v>
      </c>
      <c r="B643" s="22">
        <v>73.599999999999994</v>
      </c>
    </row>
    <row r="644" spans="1:2" ht="15.5" thickBot="1">
      <c r="A644" s="21">
        <v>45230.666666666664</v>
      </c>
      <c r="B644" s="22">
        <v>77.12</v>
      </c>
    </row>
    <row r="645" spans="1:2" ht="15.5" thickBot="1">
      <c r="A645" s="21">
        <v>45231.666666666664</v>
      </c>
      <c r="B645" s="22">
        <v>77.81</v>
      </c>
    </row>
    <row r="646" spans="1:2" ht="15.5" thickBot="1">
      <c r="A646" s="21">
        <v>45232.666666666664</v>
      </c>
      <c r="B646" s="22">
        <v>84.6</v>
      </c>
    </row>
    <row r="647" spans="1:2" ht="15.5" thickBot="1">
      <c r="A647" s="21">
        <v>45233.666666666664</v>
      </c>
      <c r="B647" s="22">
        <v>85.8</v>
      </c>
    </row>
    <row r="648" spans="1:2" ht="15.5" thickBot="1">
      <c r="A648" s="21">
        <v>45236.666666666664</v>
      </c>
      <c r="B648" s="22">
        <v>86.37</v>
      </c>
    </row>
    <row r="649" spans="1:2" ht="15.5" thickBot="1">
      <c r="A649" s="21">
        <v>45237.666666666664</v>
      </c>
      <c r="B649" s="22">
        <v>89.07</v>
      </c>
    </row>
    <row r="650" spans="1:2" ht="15.5" thickBot="1">
      <c r="A650" s="21">
        <v>45238.666666666664</v>
      </c>
      <c r="B650" s="22">
        <v>88.32</v>
      </c>
    </row>
    <row r="651" spans="1:2" ht="15.5" thickBot="1">
      <c r="A651" s="21">
        <v>45239.666666666664</v>
      </c>
      <c r="B651" s="22">
        <v>92.86</v>
      </c>
    </row>
    <row r="652" spans="1:2" ht="15.5" thickBot="1">
      <c r="A652" s="21">
        <v>45240.666666666664</v>
      </c>
      <c r="B652" s="22">
        <v>92.92</v>
      </c>
    </row>
    <row r="653" spans="1:2" ht="15.5" thickBot="1">
      <c r="A653" s="21">
        <v>45243.666666666664</v>
      </c>
      <c r="B653" s="22">
        <v>92.64</v>
      </c>
    </row>
    <row r="654" spans="1:2" ht="15.5" thickBot="1">
      <c r="A654" s="21">
        <v>45244.666666666664</v>
      </c>
      <c r="B654" s="22">
        <v>92.09</v>
      </c>
    </row>
    <row r="655" spans="1:2" ht="15.5" thickBot="1">
      <c r="A655" s="21">
        <v>45245.666666666664</v>
      </c>
      <c r="B655" s="22">
        <v>98.15</v>
      </c>
    </row>
    <row r="656" spans="1:2" ht="15.5" thickBot="1">
      <c r="A656" s="21">
        <v>45246.666666666664</v>
      </c>
      <c r="B656" s="22">
        <v>96.92</v>
      </c>
    </row>
    <row r="657" spans="1:2" ht="15.5" thickBot="1">
      <c r="A657" s="21">
        <v>45247.666666666664</v>
      </c>
      <c r="B657" s="22">
        <v>99.05</v>
      </c>
    </row>
    <row r="658" spans="1:2" ht="15.5" thickBot="1">
      <c r="A658" s="21">
        <v>45250.666666666664</v>
      </c>
      <c r="B658" s="22">
        <v>106.1</v>
      </c>
    </row>
    <row r="659" spans="1:2" ht="15.5" thickBot="1">
      <c r="A659" s="21">
        <v>45251.666666666664</v>
      </c>
      <c r="B659" s="22">
        <v>105.49</v>
      </c>
    </row>
    <row r="660" spans="1:2" ht="15.5" thickBot="1">
      <c r="A660" s="21">
        <v>45252.666666666664</v>
      </c>
      <c r="B660" s="22">
        <v>109.25</v>
      </c>
    </row>
    <row r="661" spans="1:2" ht="15.5" thickBot="1">
      <c r="A661" s="21">
        <v>45254.545138888891</v>
      </c>
      <c r="B661" s="22">
        <v>115.54</v>
      </c>
    </row>
    <row r="662" spans="1:2" ht="15.5" thickBot="1">
      <c r="A662" s="21">
        <v>45257.666666666664</v>
      </c>
      <c r="B662" s="22">
        <v>119.77</v>
      </c>
    </row>
    <row r="663" spans="1:2" ht="15.5" thickBot="1">
      <c r="A663" s="21">
        <v>45258.666666666664</v>
      </c>
      <c r="B663" s="22">
        <v>128.27000000000001</v>
      </c>
    </row>
    <row r="664" spans="1:2" ht="15.5" thickBot="1">
      <c r="A664" s="21">
        <v>45259.666666666664</v>
      </c>
      <c r="B664" s="22">
        <v>127.82</v>
      </c>
    </row>
    <row r="665" spans="1:2" ht="15.5" thickBot="1">
      <c r="A665" s="21">
        <v>45260.666666666664</v>
      </c>
      <c r="B665" s="22">
        <v>124.72</v>
      </c>
    </row>
    <row r="666" spans="1:2" ht="15.5" thickBot="1">
      <c r="A666" s="21">
        <v>45261.666666666664</v>
      </c>
      <c r="B666" s="22">
        <v>133.76</v>
      </c>
    </row>
    <row r="667" spans="1:2" ht="15.5" thickBot="1">
      <c r="A667" s="21">
        <v>45264.666666666664</v>
      </c>
      <c r="B667" s="22">
        <v>141.09</v>
      </c>
    </row>
    <row r="668" spans="1:2" ht="15.5" thickBot="1">
      <c r="A668" s="21">
        <v>45265.666666666664</v>
      </c>
      <c r="B668" s="22">
        <v>140.19999999999999</v>
      </c>
    </row>
    <row r="669" spans="1:2" ht="15.5" thickBot="1">
      <c r="A669" s="21">
        <v>45266.666666666664</v>
      </c>
      <c r="B669" s="22">
        <v>134.63</v>
      </c>
    </row>
    <row r="670" spans="1:2" ht="15.5" thickBot="1">
      <c r="A670" s="21">
        <v>45267.666666666664</v>
      </c>
      <c r="B670" s="22">
        <v>136.19</v>
      </c>
    </row>
    <row r="671" spans="1:2" ht="15.5" thickBot="1">
      <c r="A671" s="21">
        <v>45268.666666666664</v>
      </c>
      <c r="B671" s="22">
        <v>146.62</v>
      </c>
    </row>
    <row r="672" spans="1:2" ht="15.5" thickBot="1">
      <c r="A672" s="21">
        <v>45271.666666666664</v>
      </c>
      <c r="B672" s="22">
        <v>138.02000000000001</v>
      </c>
    </row>
    <row r="673" spans="1:2" ht="15.5" thickBot="1">
      <c r="A673" s="21">
        <v>45272.666666666664</v>
      </c>
      <c r="B673" s="22">
        <v>139.62</v>
      </c>
    </row>
    <row r="674" spans="1:2" ht="15.5" thickBot="1">
      <c r="A674" s="21">
        <v>45273.666666666664</v>
      </c>
      <c r="B674" s="22">
        <v>150.46</v>
      </c>
    </row>
    <row r="675" spans="1:2" ht="15.5" thickBot="1">
      <c r="A675" s="21">
        <v>45274.666666666664</v>
      </c>
      <c r="B675" s="22">
        <v>153.63</v>
      </c>
    </row>
    <row r="676" spans="1:2" ht="15.5" thickBot="1">
      <c r="A676" s="21">
        <v>45275.666666666664</v>
      </c>
      <c r="B676" s="22">
        <v>147.9</v>
      </c>
    </row>
    <row r="677" spans="1:2" ht="15.5" thickBot="1">
      <c r="A677" s="21">
        <v>45278.666666666664</v>
      </c>
      <c r="B677" s="22">
        <v>153.43</v>
      </c>
    </row>
    <row r="678" spans="1:2" ht="15.5" thickBot="1">
      <c r="A678" s="21">
        <v>45279.666666666664</v>
      </c>
      <c r="B678" s="22">
        <v>161.16</v>
      </c>
    </row>
    <row r="679" spans="1:2" ht="15.5" thickBot="1">
      <c r="A679" s="21">
        <v>45280.666666666664</v>
      </c>
      <c r="B679" s="22">
        <v>161.86000000000001</v>
      </c>
    </row>
    <row r="680" spans="1:2" ht="15.5" thickBot="1">
      <c r="A680" s="21">
        <v>45281.666666666664</v>
      </c>
      <c r="B680" s="22">
        <v>168.03</v>
      </c>
    </row>
    <row r="681" spans="1:2" ht="15.5" thickBot="1">
      <c r="A681" s="21">
        <v>45282.666666666664</v>
      </c>
      <c r="B681" s="22">
        <v>175.48</v>
      </c>
    </row>
    <row r="682" spans="1:2" ht="15.5" thickBot="1">
      <c r="A682" s="21">
        <v>45286.666666666664</v>
      </c>
      <c r="B682" s="22">
        <v>172.05</v>
      </c>
    </row>
    <row r="683" spans="1:2" ht="15.5" thickBot="1">
      <c r="A683" s="21">
        <v>45287.666666666664</v>
      </c>
      <c r="B683" s="22">
        <v>185.24</v>
      </c>
    </row>
    <row r="684" spans="1:2" ht="15.5" thickBot="1">
      <c r="A684" s="21">
        <v>45288.666666666664</v>
      </c>
      <c r="B684" s="22">
        <v>186.36</v>
      </c>
    </row>
    <row r="685" spans="1:2" ht="15.5" thickBot="1">
      <c r="A685" s="21">
        <v>45289.666666666664</v>
      </c>
      <c r="B685" s="22">
        <v>173.92</v>
      </c>
    </row>
    <row r="686" spans="1:2" ht="15.5" thickBot="1">
      <c r="A686" s="21">
        <v>45293.666666666664</v>
      </c>
      <c r="B686" s="22">
        <v>156.88</v>
      </c>
    </row>
    <row r="687" spans="1:2" ht="15.5" thickBot="1">
      <c r="A687" s="21">
        <v>45294.666666666664</v>
      </c>
      <c r="B687" s="22">
        <v>152.24</v>
      </c>
    </row>
    <row r="688" spans="1:2" ht="15.5" thickBot="1">
      <c r="A688" s="21">
        <v>45295.666666666664</v>
      </c>
      <c r="B688" s="22">
        <v>155.6</v>
      </c>
    </row>
    <row r="689" spans="1:2" ht="15.5" thickBot="1">
      <c r="A689" s="21">
        <v>45296.666666666664</v>
      </c>
      <c r="B689" s="22">
        <v>153.97999999999999</v>
      </c>
    </row>
    <row r="690" spans="1:2" ht="15.5" thickBot="1">
      <c r="A690" s="21">
        <v>45299.666666666664</v>
      </c>
      <c r="B690" s="22">
        <v>159.41999999999999</v>
      </c>
    </row>
    <row r="691" spans="1:2" ht="15.5" thickBot="1">
      <c r="A691" s="21">
        <v>45300.666666666664</v>
      </c>
      <c r="B691" s="22">
        <v>151.99</v>
      </c>
    </row>
    <row r="692" spans="1:2" ht="15.5" thickBot="1">
      <c r="A692" s="21">
        <v>45301.666666666664</v>
      </c>
      <c r="B692" s="22">
        <v>151.29</v>
      </c>
    </row>
    <row r="693" spans="1:2" ht="15.5" thickBot="1">
      <c r="A693" s="21">
        <v>45302.666666666664</v>
      </c>
      <c r="B693" s="22">
        <v>141.16</v>
      </c>
    </row>
    <row r="694" spans="1:2" ht="15.5" thickBot="1">
      <c r="A694" s="21">
        <v>45303.666666666664</v>
      </c>
      <c r="B694" s="22">
        <v>130.78</v>
      </c>
    </row>
    <row r="695" spans="1:2" ht="15.5" thickBot="1">
      <c r="A695" s="21">
        <v>45307.666666666664</v>
      </c>
      <c r="B695" s="22">
        <v>133.88</v>
      </c>
    </row>
    <row r="696" spans="1:2" ht="15.5" thickBot="1">
      <c r="A696" s="21">
        <v>45308.666666666664</v>
      </c>
      <c r="B696" s="22">
        <v>133.86000000000001</v>
      </c>
    </row>
    <row r="697" spans="1:2" ht="15.5" thickBot="1">
      <c r="A697" s="21">
        <v>45309.666666666664</v>
      </c>
      <c r="B697" s="22">
        <v>124.34</v>
      </c>
    </row>
    <row r="698" spans="1:2" ht="15.5" thickBot="1">
      <c r="A698" s="21">
        <v>45310.666666666664</v>
      </c>
      <c r="B698" s="22">
        <v>124.75</v>
      </c>
    </row>
    <row r="699" spans="1:2" ht="15.5" thickBot="1">
      <c r="A699" s="21">
        <v>45313.666666666664</v>
      </c>
      <c r="B699" s="22">
        <v>128.21</v>
      </c>
    </row>
    <row r="700" spans="1:2" ht="15.5" thickBot="1">
      <c r="A700" s="21">
        <v>45314.666666666664</v>
      </c>
      <c r="B700" s="22">
        <v>124.19</v>
      </c>
    </row>
    <row r="701" spans="1:2" ht="15.5" thickBot="1">
      <c r="A701" s="21">
        <v>45315.666666666664</v>
      </c>
      <c r="B701" s="22">
        <v>121.34</v>
      </c>
    </row>
    <row r="702" spans="1:2" ht="15.5" thickBot="1">
      <c r="A702" s="21">
        <v>45316.666666666664</v>
      </c>
      <c r="B702" s="22">
        <v>121.01</v>
      </c>
    </row>
    <row r="703" spans="1:2" ht="15.5" thickBot="1">
      <c r="A703" s="21">
        <v>45317.666666666664</v>
      </c>
      <c r="B703" s="22">
        <v>125.2</v>
      </c>
    </row>
    <row r="704" spans="1:2" ht="15.5" thickBot="1">
      <c r="A704" s="21">
        <v>45320.666666666664</v>
      </c>
      <c r="B704" s="22">
        <v>132.82</v>
      </c>
    </row>
    <row r="705" spans="1:2" ht="15.5" thickBot="1">
      <c r="A705" s="21">
        <v>45321.666666666664</v>
      </c>
      <c r="B705" s="22">
        <v>130.82</v>
      </c>
    </row>
    <row r="706" spans="1:2" ht="15.5" thickBot="1">
      <c r="A706" s="21">
        <v>45322.666666666664</v>
      </c>
      <c r="B706" s="22">
        <v>128.19999999999999</v>
      </c>
    </row>
    <row r="707" spans="1:2" ht="15.5" thickBot="1">
      <c r="A707" s="21">
        <v>45323.666666666664</v>
      </c>
      <c r="B707" s="22">
        <v>128.94999999999999</v>
      </c>
    </row>
    <row r="708" spans="1:2" ht="15.5" thickBot="1">
      <c r="A708" s="21">
        <v>45324.666666666664</v>
      </c>
      <c r="B708" s="22">
        <v>129.22</v>
      </c>
    </row>
    <row r="709" spans="1:2" ht="15.5" thickBot="1">
      <c r="A709" s="21">
        <v>45327.666666666664</v>
      </c>
      <c r="B709" s="22">
        <v>117.3</v>
      </c>
    </row>
    <row r="710" spans="1:2" ht="15.5" thickBot="1">
      <c r="A710" s="21">
        <v>45328.666666666664</v>
      </c>
      <c r="B710" s="22">
        <v>119.79</v>
      </c>
    </row>
    <row r="711" spans="1:2" ht="15.5" thickBot="1">
      <c r="A711" s="21">
        <v>45329.666666666664</v>
      </c>
      <c r="B711" s="22">
        <v>122.07</v>
      </c>
    </row>
    <row r="712" spans="1:2" ht="15.5" thickBot="1">
      <c r="A712" s="21">
        <v>45330.666666666664</v>
      </c>
      <c r="B712" s="22">
        <v>132.55000000000001</v>
      </c>
    </row>
    <row r="713" spans="1:2" ht="15.5" thickBot="1">
      <c r="A713" s="21">
        <v>45331.666666666664</v>
      </c>
      <c r="B713" s="22">
        <v>141.99</v>
      </c>
    </row>
    <row r="714" spans="1:2" ht="15.5" thickBot="1">
      <c r="A714" s="21">
        <v>45334.666666666664</v>
      </c>
      <c r="B714" s="22">
        <v>147.31</v>
      </c>
    </row>
    <row r="715" spans="1:2" ht="15.5" thickBot="1">
      <c r="A715" s="21">
        <v>45335.666666666664</v>
      </c>
      <c r="B715" s="22">
        <v>140.38999999999999</v>
      </c>
    </row>
    <row r="716" spans="1:2" ht="15.5" thickBot="1">
      <c r="A716" s="21">
        <v>45336.666666666664</v>
      </c>
      <c r="B716" s="22">
        <v>160.38</v>
      </c>
    </row>
    <row r="717" spans="1:2" ht="15.5" thickBot="1">
      <c r="A717" s="21">
        <v>45337.666666666664</v>
      </c>
      <c r="B717" s="22">
        <v>165.67</v>
      </c>
    </row>
    <row r="718" spans="1:2" ht="15.5" thickBot="1">
      <c r="A718" s="21">
        <v>45338.666666666664</v>
      </c>
      <c r="B718" s="22">
        <v>180.31</v>
      </c>
    </row>
    <row r="719" spans="1:2" ht="15.5" thickBot="1">
      <c r="A719" s="21">
        <v>45342.666666666664</v>
      </c>
      <c r="B719" s="22">
        <v>173.3</v>
      </c>
    </row>
    <row r="720" spans="1:2" ht="15.5" thickBot="1">
      <c r="A720" s="21">
        <v>45343.666666666664</v>
      </c>
      <c r="B720" s="22">
        <v>162.41</v>
      </c>
    </row>
    <row r="721" spans="1:2" ht="15.5" thickBot="1">
      <c r="A721" s="21">
        <v>45344.666666666664</v>
      </c>
      <c r="B721" s="22">
        <v>170.91</v>
      </c>
    </row>
    <row r="722" spans="1:2" ht="15.5" thickBot="1">
      <c r="A722" s="21">
        <v>45345.666666666664</v>
      </c>
      <c r="B722" s="22">
        <v>165.98</v>
      </c>
    </row>
    <row r="723" spans="1:2" ht="15.5" thickBot="1">
      <c r="A723" s="21">
        <v>45348.666666666664</v>
      </c>
      <c r="B723" s="22">
        <v>193.94</v>
      </c>
    </row>
    <row r="724" spans="1:2" ht="15.5" thickBot="1">
      <c r="A724" s="21">
        <v>45349.666666666664</v>
      </c>
      <c r="B724" s="22">
        <v>199.22</v>
      </c>
    </row>
    <row r="725" spans="1:2" ht="15.5" thickBot="1">
      <c r="A725" s="21">
        <v>45350.666666666664</v>
      </c>
      <c r="B725" s="22">
        <v>200.8</v>
      </c>
    </row>
    <row r="726" spans="1:2" ht="15.5" thickBot="1">
      <c r="A726" s="21">
        <v>45351.666666666664</v>
      </c>
      <c r="B726" s="22">
        <v>203.56</v>
      </c>
    </row>
    <row r="727" spans="1:2" ht="15.5" thickBot="1">
      <c r="A727" s="21">
        <v>45352.666666666664</v>
      </c>
      <c r="B727" s="22">
        <v>205.77</v>
      </c>
    </row>
    <row r="728" spans="1:2" ht="15.5" thickBot="1">
      <c r="A728" s="21">
        <v>45355.666666666664</v>
      </c>
      <c r="B728" s="22">
        <v>229.15</v>
      </c>
    </row>
    <row r="729" spans="1:2" ht="15.5" thickBot="1">
      <c r="A729" s="21">
        <v>45356.666666666664</v>
      </c>
      <c r="B729" s="22">
        <v>216.77</v>
      </c>
    </row>
    <row r="730" spans="1:2" ht="15.5" thickBot="1">
      <c r="A730" s="21">
        <v>45357.666666666664</v>
      </c>
      <c r="B730" s="22">
        <v>238.55</v>
      </c>
    </row>
    <row r="731" spans="1:2" ht="15.5" thickBot="1">
      <c r="A731" s="21">
        <v>45358.666666666664</v>
      </c>
      <c r="B731" s="22">
        <v>242.62</v>
      </c>
    </row>
    <row r="732" spans="1:2" ht="15.5" thickBot="1">
      <c r="A732" s="21">
        <v>45359.666666666664</v>
      </c>
      <c r="B732" s="22">
        <v>256.62</v>
      </c>
    </row>
    <row r="733" spans="1:2" ht="15.5" thickBot="1">
      <c r="A733" s="21">
        <v>45362.666666666664</v>
      </c>
      <c r="B733" s="22">
        <v>254.17</v>
      </c>
    </row>
    <row r="734" spans="1:2" ht="15.5" thickBot="1">
      <c r="A734" s="21">
        <v>45363.666666666664</v>
      </c>
      <c r="B734" s="22">
        <v>256.14</v>
      </c>
    </row>
    <row r="735" spans="1:2" ht="15.5" thickBot="1">
      <c r="A735" s="21">
        <v>45364.666666666664</v>
      </c>
      <c r="B735" s="22">
        <v>251.73</v>
      </c>
    </row>
    <row r="736" spans="1:2" ht="15.5" thickBot="1">
      <c r="A736" s="21">
        <v>45365.666666666664</v>
      </c>
      <c r="B736" s="22">
        <v>233.67</v>
      </c>
    </row>
    <row r="737" spans="1:2" ht="15.5" thickBot="1">
      <c r="A737" s="21">
        <v>45366.666666666664</v>
      </c>
      <c r="B737" s="22">
        <v>242.36</v>
      </c>
    </row>
    <row r="738" spans="1:2" ht="15.5" thickBot="1">
      <c r="A738" s="21">
        <v>45369.666666666664</v>
      </c>
      <c r="B738" s="22">
        <v>239.62</v>
      </c>
    </row>
    <row r="739" spans="1:2" ht="15.5" thickBot="1">
      <c r="A739" s="21">
        <v>45370.666666666664</v>
      </c>
      <c r="B739" s="22">
        <v>230.12</v>
      </c>
    </row>
    <row r="740" spans="1:2" ht="15.5" thickBot="1">
      <c r="A740" s="21">
        <v>45371.666666666664</v>
      </c>
      <c r="B740" s="22">
        <v>256.88</v>
      </c>
    </row>
    <row r="741" spans="1:2" ht="15.5" thickBot="1">
      <c r="A741" s="21">
        <v>45372.666666666664</v>
      </c>
      <c r="B741" s="22">
        <v>262</v>
      </c>
    </row>
    <row r="742" spans="1:2" ht="15.5" thickBot="1">
      <c r="A742" s="21">
        <v>45373.666666666664</v>
      </c>
      <c r="B742" s="22">
        <v>255.51</v>
      </c>
    </row>
    <row r="743" spans="1:2" ht="15.5" thickBot="1">
      <c r="A743" s="21">
        <v>45376.666666666664</v>
      </c>
      <c r="B743" s="22">
        <v>279.70999999999998</v>
      </c>
    </row>
    <row r="744" spans="1:2" ht="15.5" thickBot="1">
      <c r="A744" s="21">
        <v>45377.666666666664</v>
      </c>
      <c r="B744" s="22">
        <v>266.81</v>
      </c>
    </row>
    <row r="745" spans="1:2" ht="15.5" thickBot="1">
      <c r="A745" s="21">
        <v>45378.666666666664</v>
      </c>
      <c r="B745" s="22">
        <v>256.7</v>
      </c>
    </row>
    <row r="746" spans="1:2" ht="15.5" thickBot="1">
      <c r="A746" s="21">
        <v>45379.666666666664</v>
      </c>
      <c r="B746" s="22">
        <v>265.12</v>
      </c>
    </row>
    <row r="747" spans="1:2" ht="15.5" thickBot="1">
      <c r="A747" s="21">
        <v>45383.666666666664</v>
      </c>
      <c r="B747" s="22">
        <v>252.11</v>
      </c>
    </row>
    <row r="748" spans="1:2" ht="15.5" thickBot="1">
      <c r="A748" s="21">
        <v>45384.666666666664</v>
      </c>
      <c r="B748" s="22">
        <v>245.84</v>
      </c>
    </row>
    <row r="749" spans="1:2" ht="15.5" thickBot="1">
      <c r="A749" s="21">
        <v>45385.666666666664</v>
      </c>
      <c r="B749" s="22">
        <v>251.58</v>
      </c>
    </row>
    <row r="750" spans="1:2" ht="15.5" thickBot="1">
      <c r="A750" s="21">
        <v>45386.666666666664</v>
      </c>
      <c r="B750" s="22">
        <v>249.61</v>
      </c>
    </row>
    <row r="751" spans="1:2" ht="15.5" thickBot="1">
      <c r="A751" s="21">
        <v>45387.666666666664</v>
      </c>
      <c r="B751" s="22">
        <v>240.9</v>
      </c>
    </row>
    <row r="752" spans="1:2" ht="15.5" thickBot="1">
      <c r="A752" s="21">
        <v>45390.666666666664</v>
      </c>
      <c r="B752" s="22">
        <v>256.99</v>
      </c>
    </row>
    <row r="753" spans="1:2" ht="15.5" thickBot="1">
      <c r="A753" s="21">
        <v>45391.666666666664</v>
      </c>
      <c r="B753" s="22">
        <v>242.95</v>
      </c>
    </row>
    <row r="754" spans="1:2" ht="15.5" thickBot="1">
      <c r="A754" s="21">
        <v>45392.666666666664</v>
      </c>
      <c r="B754" s="22">
        <v>250.99</v>
      </c>
    </row>
    <row r="755" spans="1:2" ht="15.5" thickBot="1">
      <c r="A755" s="21">
        <v>45393.666666666664</v>
      </c>
      <c r="B755" s="22">
        <v>263.01</v>
      </c>
    </row>
    <row r="756" spans="1:2" ht="15.5" thickBot="1">
      <c r="A756" s="21">
        <v>45394.666666666664</v>
      </c>
      <c r="B756" s="22">
        <v>245.75</v>
      </c>
    </row>
    <row r="757" spans="1:2" ht="15.5" thickBot="1">
      <c r="A757" s="21">
        <v>45397.666666666664</v>
      </c>
      <c r="B757" s="22">
        <v>223.41</v>
      </c>
    </row>
    <row r="758" spans="1:2" ht="15.5" thickBot="1">
      <c r="A758" s="21">
        <v>45398.666666666664</v>
      </c>
      <c r="B758" s="22">
        <v>218.83</v>
      </c>
    </row>
    <row r="759" spans="1:2" ht="15.5" thickBot="1">
      <c r="A759" s="21">
        <v>45399.666666666664</v>
      </c>
      <c r="B759" s="22">
        <v>213.78</v>
      </c>
    </row>
    <row r="760" spans="1:2" ht="15.5" thickBot="1">
      <c r="A760" s="21">
        <v>45400.666666666664</v>
      </c>
      <c r="B760" s="22">
        <v>218.08</v>
      </c>
    </row>
    <row r="761" spans="1:2" ht="15.5" thickBot="1">
      <c r="A761" s="21">
        <v>45401.666666666664</v>
      </c>
      <c r="B761" s="22">
        <v>211.01</v>
      </c>
    </row>
    <row r="762" spans="1:2" ht="15.5" thickBot="1">
      <c r="A762" s="21">
        <v>45404.666666666664</v>
      </c>
      <c r="B762" s="22">
        <v>225.86</v>
      </c>
    </row>
    <row r="763" spans="1:2" ht="15.5" thickBot="1">
      <c r="A763" s="21">
        <v>45405.666666666664</v>
      </c>
      <c r="B763" s="22">
        <v>236.43</v>
      </c>
    </row>
    <row r="764" spans="1:2" ht="15.5" thickBot="1">
      <c r="A764" s="21">
        <v>45406.666666666664</v>
      </c>
      <c r="B764" s="22">
        <v>224.37</v>
      </c>
    </row>
    <row r="765" spans="1:2" ht="15.5" thickBot="1">
      <c r="A765" s="21">
        <v>45407.666666666664</v>
      </c>
      <c r="B765" s="22">
        <v>223.61</v>
      </c>
    </row>
    <row r="766" spans="1:2" ht="15.5" thickBot="1">
      <c r="A766" s="21">
        <v>45408.666666666664</v>
      </c>
      <c r="B766" s="22">
        <v>236.32</v>
      </c>
    </row>
    <row r="767" spans="1:2" ht="15.5" thickBot="1">
      <c r="A767" s="21">
        <v>45411.666666666664</v>
      </c>
      <c r="B767" s="22">
        <v>218.16</v>
      </c>
    </row>
    <row r="768" spans="1:2" ht="15.5" thickBot="1">
      <c r="A768" s="21">
        <v>45412.666666666664</v>
      </c>
      <c r="B768" s="22">
        <v>203.93</v>
      </c>
    </row>
    <row r="769" spans="1:2" ht="15.5" thickBot="1">
      <c r="A769" s="21">
        <v>45413.666666666664</v>
      </c>
      <c r="B769" s="22">
        <v>210.09</v>
      </c>
    </row>
    <row r="770" spans="1:2" ht="15.5" thickBot="1">
      <c r="A770" s="21">
        <v>45414.666666666664</v>
      </c>
      <c r="B770" s="22">
        <v>228.85</v>
      </c>
    </row>
    <row r="771" spans="1:2" ht="15.5" thickBot="1">
      <c r="A771" s="21">
        <v>45415.666666666664</v>
      </c>
      <c r="B771" s="22">
        <v>223.25</v>
      </c>
    </row>
    <row r="772" spans="1:2" ht="15.5" thickBot="1">
      <c r="A772" s="21">
        <v>45418.666666666664</v>
      </c>
      <c r="B772" s="22">
        <v>226.93</v>
      </c>
    </row>
    <row r="773" spans="1:2" ht="15.5" thickBot="1">
      <c r="A773" s="21">
        <v>45419.666666666664</v>
      </c>
      <c r="B773" s="22">
        <v>214.34</v>
      </c>
    </row>
    <row r="774" spans="1:2" ht="15.5" thickBot="1">
      <c r="A774" s="21">
        <v>45420.666666666664</v>
      </c>
      <c r="B774" s="22">
        <v>211.2</v>
      </c>
    </row>
    <row r="775" spans="1:2" ht="15.5" thickBot="1">
      <c r="A775" s="21">
        <v>45421.666666666664</v>
      </c>
      <c r="B775" s="22">
        <v>210.45</v>
      </c>
    </row>
    <row r="776" spans="1:2" ht="15.5" thickBot="1">
      <c r="A776" s="21">
        <v>45422.666666666664</v>
      </c>
      <c r="B776" s="22">
        <v>200.92</v>
      </c>
    </row>
    <row r="777" spans="1:2" ht="15.5" thickBot="1">
      <c r="A777" s="21">
        <v>45425.666666666664</v>
      </c>
      <c r="B777" s="22">
        <v>199.51</v>
      </c>
    </row>
    <row r="778" spans="1:2" ht="15.5" thickBot="1">
      <c r="A778" s="21">
        <v>45426.666666666664</v>
      </c>
      <c r="B778" s="22">
        <v>203.05</v>
      </c>
    </row>
    <row r="779" spans="1:2" ht="15.5" thickBot="1">
      <c r="A779" s="21">
        <v>45427.666666666664</v>
      </c>
      <c r="B779" s="22">
        <v>219.91</v>
      </c>
    </row>
    <row r="780" spans="1:2" ht="15.5" thickBot="1">
      <c r="A780" s="21">
        <v>45428.666666666664</v>
      </c>
      <c r="B780" s="22">
        <v>199.17</v>
      </c>
    </row>
    <row r="781" spans="1:2" ht="15.5" thickBot="1">
      <c r="A781" s="21">
        <v>45429.666666666664</v>
      </c>
      <c r="B781" s="22">
        <v>207.6</v>
      </c>
    </row>
    <row r="782" spans="1:2" ht="15.5" thickBot="1">
      <c r="A782" s="21">
        <v>45432.666666666664</v>
      </c>
      <c r="B782" s="22">
        <v>225.19</v>
      </c>
    </row>
    <row r="783" spans="1:2" ht="15.5" thickBot="1">
      <c r="A783" s="21">
        <v>45433.666666666664</v>
      </c>
      <c r="B783" s="22">
        <v>225.78</v>
      </c>
    </row>
    <row r="784" spans="1:2" ht="15.5" thickBot="1">
      <c r="A784" s="21">
        <v>45434.666666666664</v>
      </c>
      <c r="B784" s="22">
        <v>231.51</v>
      </c>
    </row>
    <row r="785" spans="1:2" ht="15.5" thickBot="1">
      <c r="A785" s="21">
        <v>45435.666666666664</v>
      </c>
      <c r="B785" s="22">
        <v>218.86</v>
      </c>
    </row>
    <row r="786" spans="1:2" ht="15.5" thickBot="1">
      <c r="A786" s="21">
        <v>45436.666666666664</v>
      </c>
      <c r="B786" s="22">
        <v>237.65</v>
      </c>
    </row>
    <row r="787" spans="1:2" ht="15.5" thickBot="1">
      <c r="A787" s="21">
        <v>45440.666666666664</v>
      </c>
      <c r="B787" s="22">
        <v>245</v>
      </c>
    </row>
    <row r="788" spans="1:2" ht="15.5" thickBot="1">
      <c r="A788" s="21">
        <v>45441.666666666664</v>
      </c>
      <c r="B788" s="22">
        <v>236.65</v>
      </c>
    </row>
    <row r="789" spans="1:2" ht="15.5" thickBot="1">
      <c r="A789" s="21">
        <v>45442.666666666664</v>
      </c>
      <c r="B789" s="22">
        <v>234.76</v>
      </c>
    </row>
    <row r="790" spans="1:2" ht="15.5" thickBot="1">
      <c r="A790" s="21">
        <v>45443.666666666664</v>
      </c>
      <c r="B790" s="22">
        <v>225.92</v>
      </c>
    </row>
    <row r="791" spans="1:2" ht="15.5" thickBot="1">
      <c r="A791" s="21">
        <v>45446.666666666664</v>
      </c>
      <c r="B791" s="22">
        <v>231.39</v>
      </c>
    </row>
    <row r="792" spans="1:2" ht="15.5" thickBot="1">
      <c r="A792" s="21">
        <v>45447.666666666664</v>
      </c>
      <c r="B792" s="22">
        <v>244.2</v>
      </c>
    </row>
    <row r="793" spans="1:2" ht="15.5" thickBot="1">
      <c r="A793" s="21">
        <v>45448.666666666664</v>
      </c>
      <c r="B793" s="22">
        <v>251.4</v>
      </c>
    </row>
    <row r="794" spans="1:2" ht="15.5" thickBot="1">
      <c r="A794" s="21">
        <v>45449.666666666664</v>
      </c>
      <c r="B794" s="22">
        <v>257.08</v>
      </c>
    </row>
    <row r="795" spans="1:2" ht="15.5" thickBot="1">
      <c r="A795" s="21">
        <v>45450.666666666664</v>
      </c>
      <c r="B795" s="22">
        <v>244.16</v>
      </c>
    </row>
    <row r="796" spans="1:2" ht="15.5" thickBot="1">
      <c r="A796" s="21">
        <v>45453.666666666664</v>
      </c>
      <c r="B796" s="22">
        <v>249.81</v>
      </c>
    </row>
    <row r="797" spans="1:2" ht="15.5" thickBot="1">
      <c r="A797" s="21">
        <v>45454.666666666664</v>
      </c>
      <c r="B797" s="22">
        <v>244.2</v>
      </c>
    </row>
    <row r="798" spans="1:2" ht="15.5" thickBot="1">
      <c r="A798" s="21">
        <v>45455.666666666664</v>
      </c>
      <c r="B798" s="22">
        <v>254.96</v>
      </c>
    </row>
    <row r="799" spans="1:2" ht="15.5" thickBot="1">
      <c r="A799" s="21">
        <v>45456.666666666664</v>
      </c>
      <c r="B799" s="22">
        <v>247.64</v>
      </c>
    </row>
    <row r="800" spans="1:2" ht="15.5" thickBot="1">
      <c r="A800" s="21">
        <v>45457.666666666664</v>
      </c>
      <c r="B800" s="22">
        <v>244.5</v>
      </c>
    </row>
    <row r="801" spans="1:2" ht="15.5" thickBot="1">
      <c r="A801" s="21">
        <v>45460.666666666664</v>
      </c>
      <c r="B801" s="22">
        <v>245.1</v>
      </c>
    </row>
    <row r="802" spans="1:2" ht="15.5" thickBot="1">
      <c r="A802" s="21">
        <v>45461.666666666664</v>
      </c>
      <c r="B802" s="22">
        <v>235.95</v>
      </c>
    </row>
    <row r="803" spans="1:2" ht="15.5" thickBot="1">
      <c r="A803" s="21">
        <v>45463.666666666664</v>
      </c>
      <c r="B803" s="22">
        <v>235.03</v>
      </c>
    </row>
    <row r="804" spans="1:2" ht="15.5" thickBot="1">
      <c r="A804" s="21">
        <v>45464.666666666664</v>
      </c>
      <c r="B804" s="22">
        <v>225.86</v>
      </c>
    </row>
    <row r="805" spans="1:2" ht="15.5" thickBot="1">
      <c r="A805" s="21">
        <v>45467.666666666664</v>
      </c>
      <c r="B805" s="22">
        <v>212.31</v>
      </c>
    </row>
    <row r="806" spans="1:2" ht="15.5" thickBot="1">
      <c r="A806" s="21">
        <v>45468.666666666664</v>
      </c>
      <c r="B806" s="22">
        <v>221.71</v>
      </c>
    </row>
    <row r="807" spans="1:2" ht="15.5" thickBot="1">
      <c r="A807" s="21">
        <v>45469.666666666664</v>
      </c>
      <c r="B807" s="22">
        <v>214.58</v>
      </c>
    </row>
    <row r="808" spans="1:2" ht="15.5" thickBot="1">
      <c r="A808" s="21">
        <v>45470.666666666664</v>
      </c>
      <c r="B808" s="22">
        <v>224</v>
      </c>
    </row>
    <row r="809" spans="1:2" ht="15.5" thickBot="1">
      <c r="A809" s="21">
        <v>45471.666666666664</v>
      </c>
      <c r="B809" s="22">
        <v>222.23</v>
      </c>
    </row>
    <row r="810" spans="1:2" ht="15.5" thickBot="1">
      <c r="A810" s="21">
        <v>45474.666666666664</v>
      </c>
      <c r="B810" s="22">
        <v>233.37</v>
      </c>
    </row>
    <row r="811" spans="1:2" ht="15.5" thickBot="1">
      <c r="A811" s="21">
        <v>45475.666666666664</v>
      </c>
      <c r="B811" s="22">
        <v>227.51</v>
      </c>
    </row>
    <row r="812" spans="1:2" ht="15.5" thickBot="1">
      <c r="A812" s="21">
        <v>45476.545138888891</v>
      </c>
      <c r="B812" s="22">
        <v>224.94</v>
      </c>
    </row>
    <row r="813" spans="1:2" ht="15.5" thickBot="1">
      <c r="A813" s="21">
        <v>45478.666666666664</v>
      </c>
      <c r="B813" s="22">
        <v>223.68</v>
      </c>
    </row>
    <row r="814" spans="1:2" ht="15.5" thickBot="1">
      <c r="A814" s="21">
        <v>45481.666666666664</v>
      </c>
      <c r="B814" s="22">
        <v>220.56</v>
      </c>
    </row>
    <row r="815" spans="1:2" ht="15.5" thickBot="1">
      <c r="A815" s="21">
        <v>45482.666666666664</v>
      </c>
      <c r="B815" s="22">
        <v>219.97</v>
      </c>
    </row>
    <row r="816" spans="1:2" ht="15.5" thickBot="1">
      <c r="A816" s="21">
        <v>45483.666666666664</v>
      </c>
      <c r="B816" s="22">
        <v>219.56</v>
      </c>
    </row>
    <row r="817" spans="1:2" ht="15.5" thickBot="1">
      <c r="A817" s="21">
        <v>45484.666666666664</v>
      </c>
      <c r="B817" s="22">
        <v>214.63</v>
      </c>
    </row>
    <row r="818" spans="1:2" ht="15.5" thickBot="1">
      <c r="A818" s="21">
        <v>45485.666666666664</v>
      </c>
      <c r="B818" s="22">
        <v>218.02</v>
      </c>
    </row>
    <row r="819" spans="1:2" ht="15.5" thickBot="1">
      <c r="A819" s="21">
        <v>45488.666666666664</v>
      </c>
      <c r="B819" s="22">
        <v>242.85</v>
      </c>
    </row>
    <row r="820" spans="1:2" ht="15.5" thickBot="1">
      <c r="A820" s="21">
        <v>45489.666666666664</v>
      </c>
      <c r="B820" s="22">
        <v>251.49</v>
      </c>
    </row>
    <row r="821" spans="1:2" ht="15.5" thickBot="1">
      <c r="A821" s="21">
        <v>45490.666666666664</v>
      </c>
      <c r="B821" s="22">
        <v>249.1</v>
      </c>
    </row>
    <row r="822" spans="1:2" ht="15.5" thickBot="1">
      <c r="A822" s="21">
        <v>45491.666666666664</v>
      </c>
      <c r="B822" s="22">
        <v>233.24</v>
      </c>
    </row>
    <row r="823" spans="1:2" ht="15.5" thickBot="1">
      <c r="A823" s="21">
        <v>45492.666666666664</v>
      </c>
      <c r="B823" s="22">
        <v>257.79000000000002</v>
      </c>
    </row>
    <row r="824" spans="1:2" ht="15.5" thickBot="1">
      <c r="A824" s="21">
        <v>45495.666666666664</v>
      </c>
      <c r="B824" s="22">
        <v>265.14999999999998</v>
      </c>
    </row>
    <row r="825" spans="1:2" ht="15.5" thickBot="1">
      <c r="A825" s="21">
        <v>45496.666666666664</v>
      </c>
      <c r="B825" s="22">
        <v>257.63</v>
      </c>
    </row>
    <row r="826" spans="1:2" ht="15.5" thickBot="1">
      <c r="A826" s="21">
        <v>45497.666666666664</v>
      </c>
      <c r="B826" s="22">
        <v>245.06</v>
      </c>
    </row>
    <row r="827" spans="1:2" ht="15.5" thickBot="1">
      <c r="A827" s="21">
        <v>45498.666666666664</v>
      </c>
      <c r="B827" s="22">
        <v>231.52</v>
      </c>
    </row>
    <row r="828" spans="1:2" ht="15.5" thickBot="1">
      <c r="A828" s="21">
        <v>45499.666666666664</v>
      </c>
      <c r="B828" s="22">
        <v>242.93</v>
      </c>
    </row>
    <row r="829" spans="1:2" ht="15.5" thickBot="1">
      <c r="A829" s="21">
        <v>45502.666666666664</v>
      </c>
      <c r="B829" s="22">
        <v>234.2</v>
      </c>
    </row>
    <row r="830" spans="1:2" ht="15.5" thickBot="1">
      <c r="A830" s="21">
        <v>45503.666666666664</v>
      </c>
      <c r="B830" s="22">
        <v>224.46</v>
      </c>
    </row>
    <row r="831" spans="1:2" ht="15.5" thickBot="1">
      <c r="A831" s="21">
        <v>45504.666666666664</v>
      </c>
      <c r="B831" s="22">
        <v>224.36</v>
      </c>
    </row>
    <row r="832" spans="1:2" ht="15.5" thickBot="1">
      <c r="A832" s="21">
        <v>45505.666666666664</v>
      </c>
      <c r="B832" s="22">
        <v>212.64</v>
      </c>
    </row>
    <row r="833" spans="1:2" ht="15.5" thickBot="1">
      <c r="A833" s="21">
        <v>45506.666666666664</v>
      </c>
      <c r="B833" s="22">
        <v>204.44</v>
      </c>
    </row>
    <row r="834" spans="1:2" ht="15.5" thickBot="1">
      <c r="A834" s="21">
        <v>45509.666666666664</v>
      </c>
      <c r="B834" s="22">
        <v>189.47</v>
      </c>
    </row>
    <row r="835" spans="1:2" ht="15.5" thickBot="1">
      <c r="A835" s="21">
        <v>45510.666666666664</v>
      </c>
      <c r="B835" s="22">
        <v>194.17</v>
      </c>
    </row>
    <row r="836" spans="1:2" ht="15.5" thickBot="1">
      <c r="A836" s="21">
        <v>45511.666666666664</v>
      </c>
      <c r="B836" s="22">
        <v>178.91</v>
      </c>
    </row>
    <row r="837" spans="1:2" ht="15.5" thickBot="1">
      <c r="A837" s="21">
        <v>45512.666666666664</v>
      </c>
      <c r="B837" s="22">
        <v>192.32</v>
      </c>
    </row>
    <row r="838" spans="1:2" ht="15.5" thickBot="1">
      <c r="A838" s="21">
        <v>45513.666666666664</v>
      </c>
      <c r="B838" s="22">
        <v>196.29</v>
      </c>
    </row>
    <row r="839" spans="1:2" ht="15.5" thickBot="1">
      <c r="A839" s="21">
        <v>45516.666666666664</v>
      </c>
      <c r="B839" s="22">
        <v>191.74</v>
      </c>
    </row>
    <row r="840" spans="1:2" ht="15.5" thickBot="1">
      <c r="A840" s="21">
        <v>45517.666666666664</v>
      </c>
      <c r="B840" s="22">
        <v>197.94</v>
      </c>
    </row>
    <row r="841" spans="1:2" ht="15.5" thickBot="1">
      <c r="A841" s="21">
        <v>45518.666666666664</v>
      </c>
      <c r="B841" s="22">
        <v>195.96</v>
      </c>
    </row>
    <row r="842" spans="1:2" ht="15.5" thickBot="1">
      <c r="A842" s="21">
        <v>45519.666666666664</v>
      </c>
      <c r="B842" s="22">
        <v>197.12</v>
      </c>
    </row>
    <row r="843" spans="1:2" ht="15.5" thickBot="1">
      <c r="A843" s="21">
        <v>45520.666666666664</v>
      </c>
      <c r="B843" s="22">
        <v>205.31</v>
      </c>
    </row>
    <row r="844" spans="1:2" ht="15.5" thickBot="1">
      <c r="A844" s="21">
        <v>45523.666666666664</v>
      </c>
      <c r="B844" s="22">
        <v>204.46</v>
      </c>
    </row>
    <row r="845" spans="1:2" ht="15.5" thickBot="1">
      <c r="A845" s="21">
        <v>45524.666666666664</v>
      </c>
      <c r="B845" s="22">
        <v>197.25</v>
      </c>
    </row>
    <row r="846" spans="1:2" ht="15.5" thickBot="1">
      <c r="A846" s="21">
        <v>45525.666666666664</v>
      </c>
      <c r="B846" s="22">
        <v>206.23</v>
      </c>
    </row>
    <row r="847" spans="1:2" ht="15.5" thickBot="1">
      <c r="A847" s="21">
        <v>45526.666666666664</v>
      </c>
      <c r="B847" s="22">
        <v>198.43</v>
      </c>
    </row>
    <row r="848" spans="1:2" ht="15.5" thickBot="1">
      <c r="A848" s="21">
        <v>45527.666666666664</v>
      </c>
      <c r="B848" s="22">
        <v>211.4</v>
      </c>
    </row>
    <row r="849" spans="1:2" ht="15.5" thickBot="1">
      <c r="A849" s="21">
        <v>45530.666666666664</v>
      </c>
      <c r="B849" s="22">
        <v>204</v>
      </c>
    </row>
    <row r="850" spans="1:2" ht="15.5" thickBot="1">
      <c r="A850" s="21">
        <v>45531.666666666664</v>
      </c>
      <c r="B850" s="22">
        <v>198.3</v>
      </c>
    </row>
    <row r="851" spans="1:2" ht="15.5" thickBot="1">
      <c r="A851" s="21">
        <v>45532.666666666664</v>
      </c>
      <c r="B851" s="22">
        <v>190.2</v>
      </c>
    </row>
    <row r="852" spans="1:2" ht="15.5" thickBot="1">
      <c r="A852" s="21">
        <v>45533.666666666664</v>
      </c>
      <c r="B852" s="22">
        <v>188.28</v>
      </c>
    </row>
    <row r="853" spans="1:2" ht="15.5" thickBot="1">
      <c r="A853" s="21">
        <v>45534.666666666664</v>
      </c>
      <c r="B853" s="22">
        <v>183.36</v>
      </c>
    </row>
    <row r="854" spans="1:2" ht="15.5" thickBot="1">
      <c r="A854" s="21">
        <v>45538.666666666664</v>
      </c>
      <c r="B854" s="22">
        <v>169.13</v>
      </c>
    </row>
    <row r="855" spans="1:2" ht="15.5" thickBot="1">
      <c r="A855" s="21">
        <v>45539.666666666664</v>
      </c>
      <c r="B855" s="22">
        <v>163.22</v>
      </c>
    </row>
    <row r="856" spans="1:2" ht="15.5" thickBot="1">
      <c r="A856" s="21">
        <v>45540.666666666664</v>
      </c>
      <c r="B856" s="22">
        <v>159.69999999999999</v>
      </c>
    </row>
    <row r="857" spans="1:2" ht="15.5" thickBot="1">
      <c r="A857" s="21">
        <v>45541.666666666664</v>
      </c>
      <c r="B857" s="22">
        <v>147.35</v>
      </c>
    </row>
    <row r="858" spans="1:2" ht="15.5" thickBot="1">
      <c r="A858" s="21">
        <v>45544.666666666664</v>
      </c>
      <c r="B858" s="22">
        <v>155.05000000000001</v>
      </c>
    </row>
    <row r="859" spans="1:2" ht="15.5" thickBot="1">
      <c r="A859" s="21">
        <v>45545.666666666664</v>
      </c>
      <c r="B859" s="22">
        <v>158.46</v>
      </c>
    </row>
    <row r="860" spans="1:2" ht="15.5" thickBot="1">
      <c r="A860" s="21">
        <v>45546.666666666664</v>
      </c>
      <c r="B860" s="22">
        <v>157.15</v>
      </c>
    </row>
    <row r="861" spans="1:2" ht="15.5" thickBot="1">
      <c r="A861" s="21">
        <v>45547.666666666664</v>
      </c>
      <c r="B861" s="22">
        <v>162.88999999999999</v>
      </c>
    </row>
    <row r="862" spans="1:2" ht="15.5" thickBot="1">
      <c r="A862" s="21">
        <v>45548.666666666664</v>
      </c>
      <c r="B862" s="22">
        <v>163.05000000000001</v>
      </c>
    </row>
    <row r="863" spans="1:2" ht="15.5" thickBot="1">
      <c r="A863" s="21">
        <v>45551.666666666664</v>
      </c>
      <c r="B863" s="22">
        <v>161.5</v>
      </c>
    </row>
    <row r="864" spans="1:2" ht="15.5" thickBot="1">
      <c r="A864" s="21">
        <v>45552.666666666664</v>
      </c>
      <c r="B864" s="22">
        <v>162.44999999999999</v>
      </c>
    </row>
    <row r="865" spans="1:2" ht="15.5" thickBot="1">
      <c r="A865" s="21">
        <v>45553.666666666664</v>
      </c>
      <c r="B865" s="22">
        <v>162.63999999999999</v>
      </c>
    </row>
    <row r="866" spans="1:2" ht="15.5" thickBot="1">
      <c r="A866" s="21">
        <v>45554.666666666664</v>
      </c>
      <c r="B866" s="22">
        <v>168.24</v>
      </c>
    </row>
    <row r="867" spans="1:2" ht="15.5" thickBot="1">
      <c r="A867" s="21">
        <v>45555.666666666664</v>
      </c>
      <c r="B867" s="22">
        <v>170.09</v>
      </c>
    </row>
    <row r="868" spans="1:2" ht="15.5" thickBot="1">
      <c r="A868" s="21">
        <v>45558.666666666664</v>
      </c>
      <c r="B868" s="22">
        <v>170.22</v>
      </c>
    </row>
    <row r="869" spans="1:2" ht="15.5" thickBot="1">
      <c r="A869" s="21">
        <v>45559.666666666664</v>
      </c>
      <c r="B869" s="22">
        <v>171.68</v>
      </c>
    </row>
    <row r="870" spans="1:2" ht="15.5" thickBot="1">
      <c r="A870" s="21">
        <v>45560.666666666664</v>
      </c>
      <c r="B870" s="22">
        <v>167.08</v>
      </c>
    </row>
    <row r="871" spans="1:2" ht="15.5" thickBot="1">
      <c r="A871" s="21">
        <v>45561.666666666664</v>
      </c>
      <c r="B871" s="22">
        <v>179.93</v>
      </c>
    </row>
    <row r="872" spans="1:2" ht="15.5" thickBot="1">
      <c r="A872" s="21">
        <v>45562.666666666664</v>
      </c>
      <c r="B872" s="22">
        <v>191.23</v>
      </c>
    </row>
    <row r="873" spans="1:2" ht="15.5" thickBot="1">
      <c r="A873" s="21">
        <v>45565.666666666664</v>
      </c>
      <c r="B873" s="22">
        <v>178.17</v>
      </c>
    </row>
    <row r="874" spans="1:2" ht="15.5" thickBot="1">
      <c r="A874" s="21">
        <v>45566.666666666664</v>
      </c>
      <c r="B874" s="22">
        <v>165.01</v>
      </c>
    </row>
    <row r="875" spans="1:2" ht="15.5" thickBot="1">
      <c r="A875" s="21">
        <v>45567.666666666664</v>
      </c>
      <c r="B875" s="22">
        <v>164.47</v>
      </c>
    </row>
    <row r="876" spans="1:2" ht="15.5" thickBot="1">
      <c r="A876" s="21">
        <v>45568.666666666664</v>
      </c>
      <c r="B876" s="22">
        <v>163.1</v>
      </c>
    </row>
    <row r="877" spans="1:2" ht="15.5" thickBot="1">
      <c r="A877" s="21">
        <v>45569.666666666664</v>
      </c>
      <c r="B877" s="22">
        <v>170.91</v>
      </c>
    </row>
    <row r="878" spans="1:2" ht="15.5" thickBot="1">
      <c r="A878" s="21">
        <v>45572.666666666664</v>
      </c>
      <c r="B878" s="22">
        <v>168.92</v>
      </c>
    </row>
    <row r="879" spans="1:2" ht="15.5" thickBot="1">
      <c r="A879" s="21">
        <v>45573.666666666664</v>
      </c>
      <c r="B879" s="22">
        <v>167.69</v>
      </c>
    </row>
    <row r="880" spans="1:2" ht="15.5" thickBot="1">
      <c r="A880" s="21">
        <v>45574.666666666664</v>
      </c>
      <c r="B880" s="22">
        <v>166.97</v>
      </c>
    </row>
    <row r="881" spans="1:2" ht="15.5" thickBot="1">
      <c r="A881" s="21">
        <v>45575.666666666664</v>
      </c>
      <c r="B881" s="22">
        <v>164.27</v>
      </c>
    </row>
    <row r="882" spans="1:2" ht="15.5" thickBot="1">
      <c r="A882" s="21">
        <v>45576.666666666664</v>
      </c>
      <c r="B882" s="22">
        <v>176.38</v>
      </c>
    </row>
    <row r="883" spans="1:2" ht="15.5" thickBot="1">
      <c r="A883" s="21">
        <v>45579.666666666664</v>
      </c>
      <c r="B883" s="22">
        <v>196.35</v>
      </c>
    </row>
    <row r="884" spans="1:2" ht="15.5" thickBot="1">
      <c r="A884" s="21">
        <v>45580.666666666664</v>
      </c>
      <c r="B884" s="22">
        <v>196.34</v>
      </c>
    </row>
    <row r="885" spans="1:2" ht="15.5" thickBot="1">
      <c r="A885" s="21">
        <v>45581.666666666664</v>
      </c>
      <c r="B885" s="22">
        <v>210.48</v>
      </c>
    </row>
    <row r="886" spans="1:2" ht="15.5" thickBot="1">
      <c r="A886" s="21">
        <v>45582.666666666664</v>
      </c>
      <c r="B886" s="22">
        <v>204.2</v>
      </c>
    </row>
    <row r="887" spans="1:2" ht="15.5" thickBot="1">
      <c r="A887" s="21">
        <v>45583.666666666664</v>
      </c>
      <c r="B887" s="22">
        <v>220.21</v>
      </c>
    </row>
    <row r="888" spans="1:2" ht="15.5" thickBot="1">
      <c r="A888" s="21">
        <v>45586.666666666664</v>
      </c>
      <c r="B888" s="22">
        <v>213.72</v>
      </c>
    </row>
    <row r="889" spans="1:2" ht="15.5" thickBot="1">
      <c r="A889" s="21">
        <v>45587.666666666664</v>
      </c>
      <c r="B889" s="22">
        <v>210.72</v>
      </c>
    </row>
    <row r="890" spans="1:2" ht="15.5" thickBot="1">
      <c r="A890" s="21">
        <v>45588.666666666664</v>
      </c>
      <c r="B890" s="22">
        <v>198.93</v>
      </c>
    </row>
    <row r="891" spans="1:2" ht="15.5" thickBot="1">
      <c r="A891" s="21">
        <v>45589.666666666664</v>
      </c>
      <c r="B891" s="22">
        <v>209.16</v>
      </c>
    </row>
    <row r="892" spans="1:2" ht="15.5" thickBot="1">
      <c r="A892" s="21">
        <v>45590.666666666664</v>
      </c>
      <c r="B892" s="22">
        <v>205.04</v>
      </c>
    </row>
    <row r="893" spans="1:2" ht="15.5" thickBot="1">
      <c r="A893" s="21">
        <v>45593.666666666664</v>
      </c>
      <c r="B893" s="22">
        <v>216.1</v>
      </c>
    </row>
    <row r="894" spans="1:2" ht="15.5" thickBot="1">
      <c r="A894" s="21">
        <v>45594.666666666664</v>
      </c>
      <c r="B894" s="22">
        <v>219.66</v>
      </c>
    </row>
    <row r="895" spans="1:2" ht="15.5" thickBot="1">
      <c r="A895" s="21">
        <v>45595.666666666664</v>
      </c>
      <c r="B895" s="22">
        <v>211.74</v>
      </c>
    </row>
    <row r="896" spans="1:2" ht="15.5" thickBot="1">
      <c r="A896" s="21">
        <v>45596.666666666664</v>
      </c>
      <c r="B896" s="22">
        <v>179.25</v>
      </c>
    </row>
    <row r="897" spans="1:2" ht="15.5" thickBot="1">
      <c r="A897" s="21">
        <v>45597.666666666664</v>
      </c>
      <c r="B897" s="22">
        <v>182.88</v>
      </c>
    </row>
    <row r="898" spans="1:2" ht="15.5" thickBot="1">
      <c r="A898" s="21">
        <v>45600.666666666664</v>
      </c>
      <c r="B898" s="22">
        <v>186.27</v>
      </c>
    </row>
    <row r="899" spans="1:2" ht="15.5" thickBot="1">
      <c r="A899" s="21">
        <v>45601.666666666664</v>
      </c>
      <c r="B899" s="22">
        <v>193.96</v>
      </c>
    </row>
    <row r="900" spans="1:2" ht="15.5" thickBot="1">
      <c r="A900" s="21">
        <v>45602.666666666664</v>
      </c>
      <c r="B900" s="22">
        <v>254.31</v>
      </c>
    </row>
    <row r="901" spans="1:2" ht="15.5" thickBot="1">
      <c r="A901" s="21">
        <v>45603.666666666664</v>
      </c>
      <c r="B901" s="22">
        <v>255.58</v>
      </c>
    </row>
    <row r="902" spans="1:2" ht="15.5" thickBot="1">
      <c r="A902" s="21">
        <v>45604.666666666664</v>
      </c>
      <c r="B902" s="22">
        <v>270.74</v>
      </c>
    </row>
    <row r="903" spans="1:2" ht="15.5" thickBot="1">
      <c r="A903" s="21">
        <v>45607.666666666664</v>
      </c>
      <c r="B903" s="22">
        <v>324.24</v>
      </c>
    </row>
    <row r="904" spans="1:2" ht="15.5" thickBot="1">
      <c r="A904" s="21">
        <v>45608.666666666664</v>
      </c>
      <c r="B904" s="22">
        <v>319.13</v>
      </c>
    </row>
    <row r="905" spans="1:2" ht="15.5" thickBot="1">
      <c r="A905" s="21">
        <v>45609.666666666664</v>
      </c>
      <c r="B905" s="22">
        <v>284.72000000000003</v>
      </c>
    </row>
    <row r="906" spans="1:2" ht="15.5" thickBot="1">
      <c r="A906" s="21">
        <v>45610.666666666664</v>
      </c>
      <c r="B906" s="22">
        <v>278.83999999999997</v>
      </c>
    </row>
    <row r="907" spans="1:2" ht="15.5" thickBot="1">
      <c r="A907" s="21">
        <v>45611.666666666664</v>
      </c>
      <c r="B907" s="22">
        <v>305.85000000000002</v>
      </c>
    </row>
    <row r="908" spans="1:2" ht="15.5" thickBot="1">
      <c r="A908" s="21">
        <v>45614.666666666664</v>
      </c>
      <c r="B908" s="22">
        <v>325.41000000000003</v>
      </c>
    </row>
    <row r="909" spans="1:2" ht="15.5" thickBot="1">
      <c r="A909" s="21">
        <v>45615.666666666664</v>
      </c>
      <c r="B909" s="22">
        <v>324.57</v>
      </c>
    </row>
    <row r="910" spans="1:2" ht="15.5" thickBot="1">
      <c r="A910" s="21">
        <v>45616.666666666664</v>
      </c>
      <c r="B910" s="22">
        <v>320.01</v>
      </c>
    </row>
    <row r="911" spans="1:2" ht="15.5" thickBot="1">
      <c r="A911" s="21">
        <v>45617.666666666664</v>
      </c>
      <c r="B911" s="22">
        <v>295.23</v>
      </c>
    </row>
    <row r="912" spans="1:2" ht="15.5" thickBot="1">
      <c r="A912" s="21">
        <v>45618.666666666664</v>
      </c>
      <c r="B912" s="22">
        <v>304.64</v>
      </c>
    </row>
    <row r="913" spans="1:2" ht="15.5" thickBot="1">
      <c r="A913" s="21">
        <v>45621.666666666664</v>
      </c>
      <c r="B913" s="22">
        <v>312.22000000000003</v>
      </c>
    </row>
    <row r="914" spans="1:2" ht="15.5" thickBot="1">
      <c r="A914" s="21">
        <v>45622.666666666664</v>
      </c>
      <c r="B914" s="22">
        <v>293.29000000000002</v>
      </c>
    </row>
    <row r="915" spans="1:2" ht="15.5" thickBot="1">
      <c r="A915" s="21">
        <v>45623.666666666664</v>
      </c>
      <c r="B915" s="22">
        <v>310.98</v>
      </c>
    </row>
    <row r="916" spans="1:2" ht="15.5" thickBot="1">
      <c r="A916" s="21">
        <v>45625.545138888891</v>
      </c>
      <c r="B916" s="22">
        <v>296.2</v>
      </c>
    </row>
    <row r="917" spans="1:2" ht="15.5" thickBot="1">
      <c r="A917" s="21">
        <v>45628.666666666664</v>
      </c>
      <c r="B917" s="22">
        <v>302.39999999999998</v>
      </c>
    </row>
    <row r="918" spans="1:2" ht="15.5" thickBot="1">
      <c r="A918" s="21">
        <v>45629.666666666664</v>
      </c>
      <c r="B918" s="22">
        <v>309.35000000000002</v>
      </c>
    </row>
    <row r="919" spans="1:2" ht="15.5" thickBot="1">
      <c r="A919" s="21">
        <v>45630.666666666664</v>
      </c>
      <c r="B919" s="22">
        <v>330.94</v>
      </c>
    </row>
    <row r="920" spans="1:2" ht="15.5" thickBot="1">
      <c r="A920" s="21">
        <v>45631.666666666664</v>
      </c>
      <c r="B920" s="22">
        <v>320.57</v>
      </c>
    </row>
    <row r="921" spans="1:2" ht="15.5" thickBot="1">
      <c r="A921" s="21">
        <v>45632.666666666664</v>
      </c>
      <c r="B921" s="22">
        <v>343.62</v>
      </c>
    </row>
    <row r="922" spans="1:2" ht="15.5" thickBot="1">
      <c r="A922" s="21">
        <v>45635.666666666664</v>
      </c>
      <c r="B922" s="22">
        <v>310.52</v>
      </c>
    </row>
    <row r="923" spans="1:2" ht="15.5" thickBot="1">
      <c r="A923" s="21">
        <v>45636.666666666664</v>
      </c>
      <c r="B923" s="22">
        <v>302.42</v>
      </c>
    </row>
    <row r="924" spans="1:2" ht="15.5" thickBot="1">
      <c r="A924" s="21">
        <v>45637.666666666664</v>
      </c>
      <c r="B924" s="22">
        <v>313.81</v>
      </c>
    </row>
    <row r="925" spans="1:2" ht="15.5" thickBot="1">
      <c r="A925" s="21">
        <v>45638.666666666664</v>
      </c>
      <c r="B925" s="22">
        <v>312.95999999999998</v>
      </c>
    </row>
    <row r="926" spans="1:2" ht="15.5" thickBot="1">
      <c r="A926" s="21">
        <v>45639.666666666664</v>
      </c>
      <c r="B926" s="22">
        <v>310.58</v>
      </c>
    </row>
    <row r="927" spans="1:2" ht="15.5" thickBot="1">
      <c r="A927" s="21">
        <v>45642.666666666664</v>
      </c>
      <c r="B927" s="22">
        <v>315.31</v>
      </c>
    </row>
    <row r="928" spans="1:2" ht="15.5" thickBot="1">
      <c r="A928" s="21">
        <v>45643.666666666664</v>
      </c>
      <c r="B928" s="22">
        <v>311.64</v>
      </c>
    </row>
    <row r="929" spans="1:2" ht="15.5" thickBot="1">
      <c r="A929" s="21">
        <v>45644.666666666664</v>
      </c>
      <c r="B929" s="22">
        <v>279.86</v>
      </c>
    </row>
    <row r="930" spans="1:2" ht="15.5" thickBot="1">
      <c r="A930" s="21">
        <v>45645.666666666664</v>
      </c>
      <c r="B930" s="22">
        <v>273.92</v>
      </c>
    </row>
    <row r="931" spans="1:2" ht="15.5" thickBot="1">
      <c r="A931" s="21">
        <v>45646.666666666664</v>
      </c>
      <c r="B931" s="22">
        <v>278.70999999999998</v>
      </c>
    </row>
    <row r="932" spans="1:2" ht="15.5" thickBot="1">
      <c r="A932" s="21">
        <v>45649.666666666664</v>
      </c>
      <c r="B932" s="22">
        <v>268.14999999999998</v>
      </c>
    </row>
    <row r="933" spans="1:2" ht="15.5" thickBot="1">
      <c r="A933" s="21">
        <v>45650.545138888891</v>
      </c>
      <c r="B933" s="22">
        <v>279.62</v>
      </c>
    </row>
    <row r="934" spans="1:2" ht="15.5" thickBot="1">
      <c r="A934" s="21">
        <v>45652.666666666664</v>
      </c>
      <c r="B934" s="22">
        <v>274.41000000000003</v>
      </c>
    </row>
    <row r="935" spans="1:2" ht="15.5" thickBot="1">
      <c r="A935" s="21">
        <v>45653.666666666664</v>
      </c>
      <c r="B935" s="22">
        <v>265.70999999999998</v>
      </c>
    </row>
    <row r="936" spans="1:2" ht="15.5" thickBot="1">
      <c r="A936" s="21">
        <v>45656.666666666664</v>
      </c>
      <c r="B936" s="22">
        <v>255.56</v>
      </c>
    </row>
    <row r="937" spans="1:2" ht="15.5" thickBot="1">
      <c r="A937" s="21">
        <v>45657.666666666664</v>
      </c>
      <c r="B937" s="22">
        <v>248.3</v>
      </c>
    </row>
    <row r="938" spans="1:2" ht="15.5" thickBot="1">
      <c r="A938" s="21">
        <v>45659.666666666664</v>
      </c>
      <c r="B938" s="22">
        <v>257.20999999999998</v>
      </c>
    </row>
    <row r="939" spans="1:2" ht="15.5" thickBot="1">
      <c r="A939" s="21">
        <v>45660.666666666664</v>
      </c>
      <c r="B939" s="22">
        <v>270.64999999999998</v>
      </c>
    </row>
    <row r="940" spans="1:2" ht="15.5" thickBot="1">
      <c r="A940" s="21">
        <v>45663.666666666664</v>
      </c>
      <c r="B940" s="22">
        <v>287.76</v>
      </c>
    </row>
    <row r="941" spans="1:2" ht="15.5" thickBot="1">
      <c r="A941" s="21">
        <v>45664.666666666664</v>
      </c>
      <c r="B941" s="22">
        <v>264.33</v>
      </c>
    </row>
    <row r="942" spans="1:2" ht="15.5" thickBot="1">
      <c r="A942" s="21">
        <v>45665.666666666664</v>
      </c>
      <c r="B942" s="22">
        <v>260.01</v>
      </c>
    </row>
    <row r="943" spans="1:2" ht="15.5" thickBot="1">
      <c r="A943" s="21">
        <v>45667.666666666664</v>
      </c>
      <c r="B943" s="22">
        <v>258.77999999999997</v>
      </c>
    </row>
    <row r="944" spans="1:2" ht="15.5" thickBot="1">
      <c r="A944" s="21">
        <v>45670.666666666664</v>
      </c>
      <c r="B944" s="22">
        <v>251.2</v>
      </c>
    </row>
    <row r="945" spans="1:2" ht="15.5" thickBot="1">
      <c r="A945" s="21">
        <v>45671.666666666664</v>
      </c>
      <c r="B945" s="22">
        <v>255.37</v>
      </c>
    </row>
    <row r="946" spans="1:2" ht="15.5" thickBot="1">
      <c r="A946" s="21">
        <v>45672.666666666664</v>
      </c>
      <c r="B946" s="22">
        <v>274.93</v>
      </c>
    </row>
    <row r="947" spans="1:2" ht="15.5" thickBot="1">
      <c r="A947" s="21">
        <v>45673.666666666664</v>
      </c>
      <c r="B947" s="22">
        <v>281.63</v>
      </c>
    </row>
    <row r="948" spans="1:2" ht="15.5" thickBot="1">
      <c r="A948" s="21">
        <v>45674.666666666664</v>
      </c>
      <c r="B948" s="22">
        <v>295.48</v>
      </c>
    </row>
    <row r="949" spans="1:2" ht="15.5" thickBot="1">
      <c r="A949" s="21">
        <v>45678.666666666664</v>
      </c>
      <c r="B949" s="22">
        <v>294.19</v>
      </c>
    </row>
    <row r="950" spans="1:2" ht="15.5" thickBot="1">
      <c r="A950" s="21">
        <v>45679.666666666664</v>
      </c>
      <c r="B950" s="22">
        <v>295.85000000000002</v>
      </c>
    </row>
    <row r="951" spans="1:2" ht="15.5" thickBot="1">
      <c r="A951" s="21">
        <v>45680.666666666664</v>
      </c>
      <c r="B951" s="22">
        <v>296.01</v>
      </c>
    </row>
    <row r="952" spans="1:2" ht="15.5" thickBot="1">
      <c r="A952" s="21">
        <v>45681.666666666664</v>
      </c>
      <c r="B952" s="22">
        <v>298</v>
      </c>
    </row>
    <row r="953" spans="1:2" ht="15.5" thickBot="1">
      <c r="A953" s="21">
        <v>45684.666666666664</v>
      </c>
      <c r="B953" s="22">
        <v>277.99</v>
      </c>
    </row>
    <row r="954" spans="1:2" ht="15.5" thickBot="1">
      <c r="A954" s="21">
        <v>45685.666666666664</v>
      </c>
      <c r="B954" s="22">
        <v>281.82</v>
      </c>
    </row>
    <row r="955" spans="1:2" ht="15.5" thickBot="1">
      <c r="A955" s="21">
        <v>45686.666666666664</v>
      </c>
      <c r="B955" s="22">
        <v>291</v>
      </c>
    </row>
    <row r="956" spans="1:2" ht="15.5" thickBot="1">
      <c r="A956" s="21">
        <v>45687.666666666664</v>
      </c>
      <c r="B956" s="22">
        <v>301.3</v>
      </c>
    </row>
    <row r="957" spans="1:2" ht="15.5" thickBot="1">
      <c r="A957" s="21">
        <v>45688.666666666664</v>
      </c>
      <c r="B957" s="22">
        <v>291.33</v>
      </c>
    </row>
    <row r="958" spans="1:2" ht="15.5" thickBot="1">
      <c r="A958" s="21">
        <v>45691.666666666664</v>
      </c>
      <c r="B958" s="22">
        <v>284.41000000000003</v>
      </c>
    </row>
    <row r="959" spans="1:2" ht="15.5" thickBot="1">
      <c r="A959" s="21">
        <v>45692.666666666664</v>
      </c>
      <c r="B959" s="22">
        <v>280.39</v>
      </c>
    </row>
    <row r="960" spans="1:2" ht="15.5" thickBot="1">
      <c r="A960" s="21">
        <v>45693.666666666664</v>
      </c>
      <c r="B960" s="22">
        <v>275.14</v>
      </c>
    </row>
    <row r="961" spans="1:2" ht="15.5" thickBot="1">
      <c r="A961" s="21">
        <v>45694.666666666664</v>
      </c>
      <c r="B961" s="22">
        <v>270.37</v>
      </c>
    </row>
    <row r="962" spans="1:2" ht="15.5" thickBot="1">
      <c r="A962" s="21">
        <v>45695.666666666664</v>
      </c>
      <c r="B962" s="22">
        <v>274.49</v>
      </c>
    </row>
    <row r="963" spans="1:2" ht="15.5" thickBot="1">
      <c r="A963" s="21">
        <v>45698.666666666664</v>
      </c>
      <c r="B963" s="22">
        <v>280.22000000000003</v>
      </c>
    </row>
    <row r="964" spans="1:2" ht="15.5" thickBot="1">
      <c r="A964" s="21">
        <v>45699.666666666664</v>
      </c>
      <c r="B964" s="22">
        <v>266.89999999999998</v>
      </c>
    </row>
    <row r="965" spans="1:2" ht="15.5" thickBot="1">
      <c r="A965" s="21">
        <v>45700.666666666664</v>
      </c>
      <c r="B965" s="22">
        <v>274.89999999999998</v>
      </c>
    </row>
    <row r="966" spans="1:2" ht="15.5" thickBot="1">
      <c r="A966" s="21">
        <v>45701.666666666664</v>
      </c>
      <c r="B966" s="22">
        <v>298.11</v>
      </c>
    </row>
    <row r="967" spans="1:2" ht="15.5" thickBot="1">
      <c r="A967" s="21">
        <v>45702.666666666664</v>
      </c>
      <c r="B967" s="22">
        <v>274.31</v>
      </c>
    </row>
    <row r="968" spans="1:2" ht="15.5" thickBot="1">
      <c r="A968" s="21">
        <v>45706.666666666664</v>
      </c>
      <c r="B968" s="22">
        <v>264.63</v>
      </c>
    </row>
    <row r="969" spans="1:2" ht="15.5" thickBot="1">
      <c r="A969" s="21">
        <v>45707.666666666664</v>
      </c>
      <c r="B969" s="22">
        <v>258.67</v>
      </c>
    </row>
    <row r="970" spans="1:2" ht="15.5" thickBot="1">
      <c r="A970" s="21">
        <v>45708.666666666664</v>
      </c>
      <c r="B970" s="22">
        <v>256.58999999999997</v>
      </c>
    </row>
    <row r="971" spans="1:2" ht="15.5" thickBot="1">
      <c r="A971" s="21">
        <v>45709.666666666664</v>
      </c>
      <c r="B971" s="22">
        <v>235.38</v>
      </c>
    </row>
    <row r="972" spans="1:2" ht="15.5" thickBot="1">
      <c r="A972" s="21">
        <v>45712.666666666664</v>
      </c>
      <c r="B972" s="22">
        <v>227.07</v>
      </c>
    </row>
    <row r="973" spans="1:2" ht="15.5" thickBot="1">
      <c r="A973" s="21">
        <v>45713.666666666664</v>
      </c>
      <c r="B973" s="22">
        <v>212.49</v>
      </c>
    </row>
    <row r="974" spans="1:2" ht="15.5" thickBot="1">
      <c r="A974" s="21">
        <v>45714.666666666664</v>
      </c>
      <c r="B974" s="22">
        <v>212.96</v>
      </c>
    </row>
    <row r="975" spans="1:2" ht="15.5" thickBot="1">
      <c r="A975" s="21">
        <v>45715.666666666664</v>
      </c>
      <c r="B975" s="22">
        <v>208.37</v>
      </c>
    </row>
    <row r="976" spans="1:2" ht="15.5" thickBot="1">
      <c r="A976" s="21">
        <v>45716.666666666664</v>
      </c>
      <c r="B976" s="22">
        <v>215.62</v>
      </c>
    </row>
    <row r="977" spans="1:2" ht="15.5" thickBot="1">
      <c r="A977" s="21">
        <v>45719.666666666664</v>
      </c>
      <c r="B977" s="22">
        <v>205.75</v>
      </c>
    </row>
    <row r="978" spans="1:2" ht="15.5" thickBot="1">
      <c r="A978" s="21">
        <v>45720.666666666664</v>
      </c>
      <c r="B978" s="22">
        <v>212.55</v>
      </c>
    </row>
    <row r="979" spans="1:2" ht="15.5" thickBot="1">
      <c r="A979" s="21">
        <v>45721.666666666664</v>
      </c>
      <c r="B979" s="22">
        <v>222.45</v>
      </c>
    </row>
    <row r="980" spans="1:2" ht="15.5" thickBot="1">
      <c r="A980" s="21">
        <v>45722.666666666664</v>
      </c>
      <c r="B980" s="22">
        <v>214.17</v>
      </c>
    </row>
    <row r="981" spans="1:2" ht="15.5" thickBot="1">
      <c r="A981" s="21">
        <v>45723.666666666664</v>
      </c>
      <c r="B981" s="22">
        <v>217.45</v>
      </c>
    </row>
    <row r="982" spans="1:2" ht="15.5" thickBot="1">
      <c r="A982" s="21">
        <v>45726.666666666664</v>
      </c>
      <c r="B982" s="22">
        <v>179.23</v>
      </c>
    </row>
    <row r="983" spans="1:2" ht="15.5" thickBot="1">
      <c r="A983" s="21">
        <v>45727.666666666664</v>
      </c>
      <c r="B983" s="22">
        <v>191.69</v>
      </c>
    </row>
    <row r="984" spans="1:2" ht="15.5" thickBot="1">
      <c r="A984" s="21">
        <v>45728.666666666664</v>
      </c>
      <c r="B984" s="22">
        <v>191.73</v>
      </c>
    </row>
    <row r="985" spans="1:2" ht="15.5" thickBot="1">
      <c r="A985" s="21">
        <v>45729.666666666664</v>
      </c>
      <c r="B985" s="22">
        <v>177.49</v>
      </c>
    </row>
    <row r="986" spans="1:2" ht="15.5" thickBot="1">
      <c r="A986" s="21">
        <v>45730.666666666664</v>
      </c>
      <c r="B986" s="22">
        <v>183.12</v>
      </c>
    </row>
    <row r="987" spans="1:2" ht="15.5" thickBot="1">
      <c r="A987" s="21">
        <v>45733.666666666664</v>
      </c>
      <c r="B987" s="22">
        <v>188.96</v>
      </c>
    </row>
    <row r="988" spans="1:2" ht="15.5" thickBot="1">
      <c r="A988" s="21">
        <v>45734.666666666664</v>
      </c>
      <c r="B988" s="22">
        <v>181.14</v>
      </c>
    </row>
    <row r="989" spans="1:2" ht="15.5" thickBot="1">
      <c r="A989" s="21">
        <v>45735.666666666664</v>
      </c>
      <c r="B989" s="22">
        <v>189.75</v>
      </c>
    </row>
    <row r="990" spans="1:2" ht="15.5" thickBot="1">
      <c r="A990" s="21">
        <v>45736.666666666664</v>
      </c>
      <c r="B990" s="22">
        <v>190.38</v>
      </c>
    </row>
    <row r="991" spans="1:2" ht="15.5" thickBot="1">
      <c r="A991" s="21">
        <v>45737.666666666664</v>
      </c>
      <c r="B991" s="22">
        <v>189.86</v>
      </c>
    </row>
    <row r="992" spans="1:2" ht="15.5" thickBot="1">
      <c r="A992" s="21">
        <v>45740.666666666664</v>
      </c>
      <c r="B992" s="22">
        <v>203.04</v>
      </c>
    </row>
    <row r="993" spans="1:2" ht="15.5" thickBot="1">
      <c r="A993" s="21">
        <v>45741.666666666664</v>
      </c>
      <c r="B993" s="22">
        <v>204.23</v>
      </c>
    </row>
    <row r="994" spans="1:2" ht="15.5" thickBot="1">
      <c r="A994" s="21">
        <v>45742.666666666664</v>
      </c>
      <c r="B994" s="22">
        <v>193.95</v>
      </c>
    </row>
    <row r="995" spans="1:2" ht="15.5" thickBot="1">
      <c r="A995" s="21">
        <v>45743.666666666664</v>
      </c>
      <c r="B995" s="22">
        <v>188.58</v>
      </c>
    </row>
    <row r="996" spans="1:2" ht="15.5" thickBot="1">
      <c r="A996" s="21">
        <v>45744.666666666664</v>
      </c>
      <c r="B996" s="22">
        <v>173.93</v>
      </c>
    </row>
    <row r="997" spans="1:2" ht="15.5" thickBot="1">
      <c r="A997" s="21">
        <v>45747.666666666664</v>
      </c>
      <c r="B997" s="22">
        <v>172.23</v>
      </c>
    </row>
    <row r="998" spans="1:2" ht="15.5" thickBot="1">
      <c r="A998" s="21">
        <v>45748.666666666664</v>
      </c>
      <c r="B998" s="22">
        <v>174.52</v>
      </c>
    </row>
    <row r="999" spans="1:2" ht="15.5" thickBot="1">
      <c r="A999" s="21">
        <v>45749.666666666664</v>
      </c>
      <c r="B999" s="22">
        <v>182.95</v>
      </c>
    </row>
    <row r="1000" spans="1:2" ht="15.5" thickBot="1">
      <c r="A1000" s="21">
        <v>45750.666666666664</v>
      </c>
      <c r="B1000" s="22">
        <v>170.76</v>
      </c>
    </row>
    <row r="1001" spans="1:2" ht="15.5" thickBot="1">
      <c r="A1001" s="21">
        <v>45751.666666666664</v>
      </c>
      <c r="B1001" s="22">
        <v>160.55000000000001</v>
      </c>
    </row>
    <row r="1002" spans="1:2" ht="15.5" thickBot="1">
      <c r="A1002" s="21">
        <v>45754.666666666664</v>
      </c>
      <c r="B1002" s="22">
        <v>157.28</v>
      </c>
    </row>
    <row r="1003" spans="1:2" ht="15.5" thickBot="1">
      <c r="A1003" s="21">
        <v>45755.666666666664</v>
      </c>
      <c r="B1003" s="22">
        <v>151.47</v>
      </c>
    </row>
    <row r="1004" spans="1:2" ht="15.5" thickBot="1">
      <c r="A1004" s="21">
        <v>45756.666666666664</v>
      </c>
      <c r="B1004" s="22">
        <v>177.09</v>
      </c>
    </row>
    <row r="1005" spans="1:2" ht="15.5" thickBot="1">
      <c r="A1005" s="21">
        <v>45757.666666666664</v>
      </c>
      <c r="B1005" s="22">
        <v>169.62</v>
      </c>
    </row>
    <row r="1006" spans="1:2" ht="15.5" thickBot="1">
      <c r="A1006" s="21">
        <v>45758.666666666664</v>
      </c>
      <c r="B1006" s="22">
        <v>175.5</v>
      </c>
    </row>
    <row r="1007" spans="1:2" ht="15.5" thickBot="1">
      <c r="A1007" s="21">
        <v>45761.666666666664</v>
      </c>
      <c r="B1007" s="22">
        <v>176.58</v>
      </c>
    </row>
    <row r="1008" spans="1:2" ht="15.5" thickBot="1">
      <c r="A1008" s="21">
        <v>45762.666666666664</v>
      </c>
      <c r="B1008" s="22">
        <v>175.57</v>
      </c>
    </row>
    <row r="1009" spans="1:2" ht="15.5" thickBot="1">
      <c r="A1009" s="21">
        <v>45763.666666666664</v>
      </c>
      <c r="B1009" s="22">
        <v>172.21</v>
      </c>
    </row>
    <row r="1010" spans="1:2" ht="15.5" thickBot="1">
      <c r="A1010" s="21">
        <v>45764.666666666664</v>
      </c>
      <c r="B1010" s="22">
        <v>175.03</v>
      </c>
    </row>
    <row r="1011" spans="1:2" ht="15.5" thickBot="1">
      <c r="A1011" s="21">
        <v>45768.666666666664</v>
      </c>
      <c r="B1011" s="22">
        <v>175</v>
      </c>
    </row>
    <row r="1012" spans="1:2" ht="15.5" thickBot="1">
      <c r="A1012" s="21">
        <v>45769.666666666664</v>
      </c>
      <c r="B1012" s="22">
        <v>190</v>
      </c>
    </row>
    <row r="1013" spans="1:2" ht="15.5" thickBot="1">
      <c r="A1013" s="21">
        <v>45770.666666666664</v>
      </c>
      <c r="B1013" s="22">
        <v>194.8</v>
      </c>
    </row>
    <row r="1014" spans="1:2" ht="15.5" thickBot="1">
      <c r="A1014" s="21">
        <v>45771.666666666664</v>
      </c>
      <c r="B1014" s="22">
        <v>203.87</v>
      </c>
    </row>
    <row r="1015" spans="1:2" ht="15.5" thickBot="1">
      <c r="A1015" s="21">
        <v>45772.666666666664</v>
      </c>
      <c r="B1015" s="22">
        <v>209.64</v>
      </c>
    </row>
    <row r="1016" spans="1:2" ht="15.5" thickBot="1">
      <c r="A1016" s="21">
        <v>45775.666666666664</v>
      </c>
      <c r="B1016" s="22">
        <v>205.27</v>
      </c>
    </row>
    <row r="1017" spans="1:2" ht="15.5" thickBot="1">
      <c r="A1017" s="21">
        <v>45776.666666666664</v>
      </c>
      <c r="B1017" s="22">
        <v>206.13</v>
      </c>
    </row>
    <row r="1018" spans="1:2" ht="15.5" thickBot="1">
      <c r="A1018" s="21">
        <v>45777.666666666664</v>
      </c>
      <c r="B1018" s="22">
        <v>202.89</v>
      </c>
    </row>
    <row r="1019" spans="1:2" ht="15.5" thickBot="1">
      <c r="A1019" s="21">
        <v>45778.666666666664</v>
      </c>
      <c r="B1019" s="22">
        <v>201.3</v>
      </c>
    </row>
    <row r="1020" spans="1:2" ht="15.5" thickBot="1">
      <c r="A1020" s="21">
        <v>45779.666666666664</v>
      </c>
      <c r="B1020" s="22">
        <v>204.93</v>
      </c>
    </row>
    <row r="1021" spans="1:2" ht="15.5" thickBot="1">
      <c r="A1021" s="21">
        <v>45782.666666666664</v>
      </c>
      <c r="B1021" s="22">
        <v>199.4</v>
      </c>
    </row>
    <row r="1022" spans="1:2" ht="15.5" thickBot="1">
      <c r="A1022" s="21">
        <v>45783.666666666664</v>
      </c>
      <c r="B1022" s="22">
        <v>196.89</v>
      </c>
    </row>
    <row r="1023" spans="1:2" ht="15.5" thickBot="1">
      <c r="A1023" s="21">
        <v>45784.666666666664</v>
      </c>
      <c r="B1023" s="22">
        <v>196.56</v>
      </c>
    </row>
    <row r="1024" spans="1:2" ht="15.5" thickBot="1">
      <c r="A1024" s="21">
        <v>45785.666666666664</v>
      </c>
      <c r="B1024" s="22">
        <v>206.5</v>
      </c>
    </row>
    <row r="1025" spans="1:2" ht="15.5" thickBot="1">
      <c r="A1025" s="21">
        <v>45786.666666666664</v>
      </c>
      <c r="B1025" s="22">
        <v>199.32</v>
      </c>
    </row>
    <row r="1026" spans="1:2" ht="15.5" thickBot="1">
      <c r="A1026" s="21">
        <v>45789.666666666664</v>
      </c>
      <c r="B1026" s="22">
        <v>207.22</v>
      </c>
    </row>
    <row r="1027" spans="1:2" ht="15.5" thickBot="1">
      <c r="A1027" s="21">
        <v>45790.666666666664</v>
      </c>
      <c r="B1027" s="22">
        <v>256.89999999999998</v>
      </c>
    </row>
    <row r="1028" spans="1:2" ht="15.5" thickBot="1">
      <c r="A1028" s="21">
        <v>45791.666666666664</v>
      </c>
      <c r="B1028" s="22">
        <v>263.41000000000003</v>
      </c>
    </row>
    <row r="1029" spans="1:2" ht="15.5" thickBot="1">
      <c r="A1029" s="21">
        <v>45792.666666666664</v>
      </c>
      <c r="B1029" s="22">
        <v>244.44</v>
      </c>
    </row>
    <row r="1030" spans="1:2" ht="15.5" thickBot="1">
      <c r="A1030" s="21">
        <v>45793.666666666664</v>
      </c>
      <c r="B1030" s="22">
        <v>266.45999999999998</v>
      </c>
    </row>
    <row r="1031" spans="1:2" ht="15.5" thickBot="1">
      <c r="A1031" s="21">
        <v>45796.666666666664</v>
      </c>
      <c r="B1031" s="22">
        <v>263.99</v>
      </c>
    </row>
    <row r="1032" spans="1:2" ht="15.5" thickBot="1">
      <c r="A1032" s="21">
        <v>45797.666666666664</v>
      </c>
      <c r="B1032" s="22">
        <v>261.38</v>
      </c>
    </row>
    <row r="1033" spans="1:2" ht="15.5" thickBot="1">
      <c r="A1033" s="21">
        <v>45798.666666666664</v>
      </c>
      <c r="B1033" s="22">
        <v>258.99</v>
      </c>
    </row>
    <row r="1034" spans="1:2" ht="15.5" thickBot="1">
      <c r="A1034" s="21">
        <v>45799.666666666664</v>
      </c>
      <c r="B1034" s="22">
        <v>271.95</v>
      </c>
    </row>
    <row r="1035" spans="1:2" ht="15.5" thickBot="1">
      <c r="A1035" s="21">
        <v>45800.666666666664</v>
      </c>
      <c r="B1035" s="22">
        <v>263.16000000000003</v>
      </c>
    </row>
    <row r="1036" spans="1:2" ht="15.5" thickBot="1">
      <c r="A1036" s="21">
        <v>45804.666666666664</v>
      </c>
      <c r="B1036" s="22">
        <v>266.39999999999998</v>
      </c>
    </row>
    <row r="1037" spans="1:2" ht="15.5" thickBot="1">
      <c r="A1037" s="21">
        <v>45805.666666666664</v>
      </c>
      <c r="B1037" s="22">
        <v>254.29</v>
      </c>
    </row>
    <row r="1038" spans="1:2" ht="15.5" thickBot="1">
      <c r="A1038" s="21">
        <v>45806.666666666664</v>
      </c>
      <c r="B1038" s="22">
        <v>248.84</v>
      </c>
    </row>
    <row r="1039" spans="1:2" ht="15.5" thickBot="1">
      <c r="A1039" s="21">
        <v>45807.666666666664</v>
      </c>
      <c r="B1039" s="22">
        <v>246.62</v>
      </c>
    </row>
    <row r="1040" spans="1:2" ht="15.5" thickBot="1">
      <c r="A1040" s="21">
        <v>45810.666666666664</v>
      </c>
      <c r="B1040" s="22">
        <v>246.72</v>
      </c>
    </row>
    <row r="1041" spans="1:2" ht="15.5" thickBot="1">
      <c r="A1041" s="21">
        <v>45811.666666666664</v>
      </c>
      <c r="B1041" s="22">
        <v>258.91000000000003</v>
      </c>
    </row>
    <row r="1042" spans="1:2" ht="15.5" thickBot="1">
      <c r="A1042" s="21">
        <v>45812.666666666664</v>
      </c>
      <c r="B1042" s="22">
        <v>256</v>
      </c>
    </row>
    <row r="1043" spans="1:2" ht="15.5" thickBot="1">
      <c r="A1043" s="21">
        <v>45813.666666666664</v>
      </c>
      <c r="B1043" s="22">
        <v>244.2</v>
      </c>
    </row>
    <row r="1044" spans="1:2" ht="15.5" thickBot="1">
      <c r="A1044" s="21">
        <v>45814.666666666664</v>
      </c>
      <c r="B1044" s="22">
        <v>251.27</v>
      </c>
    </row>
    <row r="1045" spans="1:2" ht="15.5" thickBot="1">
      <c r="A1045" s="21">
        <v>45817.666666666664</v>
      </c>
      <c r="B1045" s="22">
        <v>256.63</v>
      </c>
    </row>
    <row r="1046" spans="1:2" ht="15.5" thickBot="1">
      <c r="A1046" s="21">
        <v>45818.666666666664</v>
      </c>
      <c r="B1046" s="22">
        <v>254.94</v>
      </c>
    </row>
    <row r="1047" spans="1:2" ht="15.5" thickBot="1">
      <c r="A1047" s="21">
        <v>45819.666666666664</v>
      </c>
      <c r="B1047" s="22">
        <v>250.68</v>
      </c>
    </row>
    <row r="1048" spans="1:2" ht="15.5" thickBot="1">
      <c r="A1048" s="21">
        <v>45820.666666666664</v>
      </c>
      <c r="B1048" s="22">
        <v>241.05</v>
      </c>
    </row>
    <row r="1049" spans="1:2" ht="15.5" thickBot="1">
      <c r="A1049" s="21">
        <v>45821.666666666664</v>
      </c>
      <c r="B1049" s="22">
        <v>242.71</v>
      </c>
    </row>
    <row r="1050" spans="1:2" ht="15.5" thickBot="1">
      <c r="A1050" s="21">
        <v>45824.666666666664</v>
      </c>
      <c r="B1050" s="22">
        <v>261.57</v>
      </c>
    </row>
    <row r="1051" spans="1:2" ht="15.5" thickBot="1">
      <c r="A1051" s="21">
        <v>45825.666666666664</v>
      </c>
      <c r="B1051" s="22">
        <v>253.85</v>
      </c>
    </row>
    <row r="1052" spans="1:2" ht="15.5" thickBot="1">
      <c r="A1052" s="21">
        <v>45826.666666666664</v>
      </c>
      <c r="B1052" s="22">
        <v>295.29000000000002</v>
      </c>
    </row>
    <row r="1053" spans="1:2" ht="15.5" thickBot="1">
      <c r="A1053" s="21">
        <v>45828.666666666664</v>
      </c>
      <c r="B1053" s="22">
        <v>308.38</v>
      </c>
    </row>
    <row r="1054" spans="1:2" ht="15.5" thickBot="1">
      <c r="A1054" s="21">
        <v>45831.666666666664</v>
      </c>
      <c r="B1054" s="22">
        <v>307.58999999999997</v>
      </c>
    </row>
    <row r="1055" spans="1:2" ht="15.5" thickBot="1">
      <c r="A1055" s="21">
        <v>45832.666666666664</v>
      </c>
      <c r="B1055" s="22">
        <v>344.82</v>
      </c>
    </row>
    <row r="1056" spans="1:2" ht="15.5" thickBot="1">
      <c r="A1056" s="21">
        <v>45833.666666666664</v>
      </c>
      <c r="B1056" s="22">
        <v>355.37</v>
      </c>
    </row>
    <row r="1057" spans="1:2" ht="15.5" thickBot="1">
      <c r="A1057" s="21">
        <v>45834.666666666664</v>
      </c>
      <c r="B1057" s="22">
        <v>375.07</v>
      </c>
    </row>
    <row r="1058" spans="1:2" ht="15.5" thickBot="1">
      <c r="A1058" s="21">
        <v>45835.666666666664</v>
      </c>
      <c r="B1058" s="22">
        <v>353.43</v>
      </c>
    </row>
    <row r="1059" spans="1:2" ht="15.5" thickBot="1">
      <c r="A1059" s="21">
        <v>45838.666666666664</v>
      </c>
      <c r="B1059" s="22">
        <v>350.49</v>
      </c>
    </row>
    <row r="1060" spans="1:2" ht="15.5" thickBot="1">
      <c r="A1060" s="21">
        <v>45839.666666666664</v>
      </c>
      <c r="B1060" s="22">
        <v>335.33</v>
      </c>
    </row>
    <row r="1061" spans="1:2" ht="15.5" thickBot="1">
      <c r="A1061" s="21">
        <v>45840.666666666664</v>
      </c>
      <c r="B1061" s="22">
        <v>354.45</v>
      </c>
    </row>
    <row r="1062" spans="1:2" ht="15.5" thickBot="1">
      <c r="A1062" s="21">
        <v>45841.545138888891</v>
      </c>
      <c r="B1062" s="22">
        <v>355.8</v>
      </c>
    </row>
    <row r="1063" spans="1:2" ht="15.5" thickBot="1">
      <c r="A1063" s="21">
        <v>45845.666666666664</v>
      </c>
      <c r="B1063" s="22">
        <v>357.1</v>
      </c>
    </row>
    <row r="1064" spans="1:2" ht="15.5" thickBot="1">
      <c r="A1064" s="21">
        <v>45846.666666666664</v>
      </c>
      <c r="B1064" s="22">
        <v>354.82</v>
      </c>
    </row>
    <row r="1065" spans="1:2" ht="15.5" thickBot="1">
      <c r="A1065" s="21">
        <v>45847.666666666664</v>
      </c>
      <c r="B1065" s="22">
        <v>373.85</v>
      </c>
    </row>
    <row r="1066" spans="1:2" ht="15.5" thickBot="1">
      <c r="A1066" s="21">
        <v>45848.666666666664</v>
      </c>
      <c r="B1066" s="22">
        <v>388.96</v>
      </c>
    </row>
    <row r="1067" spans="1:2" ht="15.5" thickBot="1">
      <c r="A1067" s="21">
        <v>45849.666666666664</v>
      </c>
      <c r="B1067" s="22">
        <v>387.06</v>
      </c>
    </row>
    <row r="1068" spans="1:2" ht="15.5" thickBot="1">
      <c r="A1068" s="20"/>
      <c r="B1068" s="20"/>
    </row>
    <row r="1069" spans="1:2" ht="15.5" thickBot="1">
      <c r="A1069" s="20"/>
      <c r="B1069" s="20"/>
    </row>
    <row r="1070" spans="1:2" ht="15.5" thickBot="1">
      <c r="A1070" s="20"/>
      <c r="B1070" s="20"/>
    </row>
    <row r="1071" spans="1:2" ht="15.5" thickBot="1">
      <c r="A1071" s="20"/>
      <c r="B1071" s="20"/>
    </row>
    <row r="1072" spans="1:2" ht="15.5" thickBot="1">
      <c r="A1072" s="20"/>
      <c r="B1072" s="20"/>
    </row>
    <row r="1073" spans="1:2" ht="15.5" thickBot="1">
      <c r="A1073" s="20"/>
      <c r="B1073" s="20"/>
    </row>
    <row r="1074" spans="1:2" ht="15.5" thickBot="1">
      <c r="A1074" s="20"/>
      <c r="B1074" s="20"/>
    </row>
    <row r="1075" spans="1:2" ht="15.5" thickBot="1">
      <c r="A1075" s="20"/>
      <c r="B1075" s="20"/>
    </row>
    <row r="1076" spans="1:2" ht="15.5" thickBot="1">
      <c r="A1076" s="20"/>
      <c r="B1076" s="20"/>
    </row>
    <row r="1077" spans="1:2" ht="15.5" thickBot="1">
      <c r="A1077" s="20"/>
      <c r="B1077" s="20"/>
    </row>
    <row r="1078" spans="1:2" ht="15.5" thickBot="1">
      <c r="A1078" s="20"/>
      <c r="B1078" s="20"/>
    </row>
    <row r="1079" spans="1:2" ht="15.5" thickBot="1">
      <c r="A1079" s="20"/>
      <c r="B1079" s="20"/>
    </row>
    <row r="1080" spans="1:2" ht="15.5" thickBot="1">
      <c r="A1080" s="20"/>
      <c r="B1080" s="20"/>
    </row>
    <row r="1081" spans="1:2" ht="15.5" thickBot="1">
      <c r="A1081" s="20"/>
      <c r="B1081" s="20"/>
    </row>
    <row r="1082" spans="1:2" ht="15.5" thickBot="1">
      <c r="A1082" s="20"/>
      <c r="B1082" s="20"/>
    </row>
    <row r="1083" spans="1:2" ht="15.5" thickBot="1">
      <c r="A1083" s="20"/>
      <c r="B1083" s="20"/>
    </row>
    <row r="1084" spans="1:2" ht="15.5" thickBot="1">
      <c r="A1084" s="20"/>
      <c r="B1084" s="20"/>
    </row>
    <row r="1085" spans="1:2" ht="15.5" thickBot="1">
      <c r="A1085" s="20"/>
      <c r="B1085" s="20"/>
    </row>
    <row r="1086" spans="1:2" ht="15.5" thickBot="1">
      <c r="A1086" s="20"/>
      <c r="B1086" s="20"/>
    </row>
    <row r="1087" spans="1:2" ht="15.5" thickBot="1">
      <c r="A1087" s="20"/>
      <c r="B1087" s="20"/>
    </row>
    <row r="1088" spans="1:2" ht="15.5" thickBot="1">
      <c r="A1088" s="20"/>
      <c r="B1088" s="20"/>
    </row>
    <row r="1089" spans="1:2" ht="15.5" thickBot="1">
      <c r="A1089" s="20"/>
      <c r="B1089" s="20"/>
    </row>
    <row r="1090" spans="1:2" ht="15.5" thickBot="1">
      <c r="A1090" s="20"/>
      <c r="B1090" s="20"/>
    </row>
    <row r="1091" spans="1:2" ht="15.5" thickBot="1">
      <c r="A1091" s="20"/>
      <c r="B1091" s="20"/>
    </row>
    <row r="1092" spans="1:2" ht="15.5" thickBot="1">
      <c r="A1092" s="20"/>
      <c r="B1092" s="20"/>
    </row>
    <row r="1093" spans="1:2" ht="15.5" thickBot="1">
      <c r="A1093" s="20"/>
      <c r="B1093" s="20"/>
    </row>
    <row r="1094" spans="1:2" ht="15.5" thickBot="1">
      <c r="A1094" s="20"/>
      <c r="B1094" s="20"/>
    </row>
    <row r="1095" spans="1:2" ht="15.5" thickBot="1">
      <c r="A1095" s="20"/>
      <c r="B1095" s="20"/>
    </row>
    <row r="1096" spans="1:2" ht="15.5" thickBot="1">
      <c r="A1096" s="20"/>
      <c r="B1096" s="20"/>
    </row>
    <row r="1097" spans="1:2" ht="15.5" thickBot="1">
      <c r="A1097" s="20"/>
      <c r="B1097" s="20"/>
    </row>
    <row r="1098" spans="1:2" ht="15.5" thickBot="1">
      <c r="A1098" s="20"/>
      <c r="B1098" s="20"/>
    </row>
    <row r="1099" spans="1:2" ht="15.5" thickBot="1">
      <c r="A1099" s="20"/>
      <c r="B1099" s="20"/>
    </row>
    <row r="1100" spans="1:2" ht="15.5" thickBot="1">
      <c r="A1100" s="20"/>
      <c r="B1100" s="20"/>
    </row>
    <row r="1101" spans="1:2" ht="15.5" thickBot="1">
      <c r="A1101" s="20"/>
      <c r="B1101" s="20"/>
    </row>
    <row r="1102" spans="1:2" ht="15.5" thickBot="1">
      <c r="A1102" s="20"/>
      <c r="B1102" s="20"/>
    </row>
    <row r="1103" spans="1:2" ht="15.5" thickBot="1">
      <c r="A1103" s="20"/>
      <c r="B1103" s="20"/>
    </row>
    <row r="1104" spans="1:2" ht="15.5" thickBot="1">
      <c r="A1104" s="20"/>
      <c r="B1104" s="20"/>
    </row>
    <row r="1105" spans="1:2" ht="15.5" thickBot="1">
      <c r="A1105" s="20"/>
      <c r="B1105" s="20"/>
    </row>
    <row r="1106" spans="1:2" ht="15.5" thickBot="1">
      <c r="A1106" s="20"/>
      <c r="B1106" s="20"/>
    </row>
    <row r="1107" spans="1:2" ht="15.5" thickBot="1">
      <c r="A1107" s="20"/>
      <c r="B1107" s="20"/>
    </row>
    <row r="1108" spans="1:2" ht="15.5" thickBot="1">
      <c r="A1108" s="20"/>
      <c r="B1108" s="20"/>
    </row>
    <row r="1109" spans="1:2" ht="15.5" thickBot="1">
      <c r="A1109" s="20"/>
      <c r="B1109" s="20"/>
    </row>
    <row r="1110" spans="1:2" ht="15.5" thickBot="1">
      <c r="A1110" s="20"/>
      <c r="B1110" s="20"/>
    </row>
    <row r="1111" spans="1:2" ht="15.5" thickBot="1">
      <c r="A1111" s="20"/>
      <c r="B1111" s="20"/>
    </row>
    <row r="1112" spans="1:2" ht="15.5" thickBot="1">
      <c r="A1112" s="20"/>
      <c r="B1112" s="20"/>
    </row>
    <row r="1113" spans="1:2" ht="15.5" thickBot="1">
      <c r="A1113" s="20"/>
      <c r="B1113" s="20"/>
    </row>
    <row r="1114" spans="1:2" ht="15.5" thickBot="1">
      <c r="A1114" s="20"/>
      <c r="B1114" s="20"/>
    </row>
    <row r="1115" spans="1:2" ht="15.5" thickBot="1">
      <c r="A1115" s="20"/>
      <c r="B1115" s="20"/>
    </row>
    <row r="1116" spans="1:2" ht="15.5" thickBot="1">
      <c r="A1116" s="20"/>
      <c r="B1116" s="20"/>
    </row>
    <row r="1117" spans="1:2" ht="15.5" thickBot="1">
      <c r="A1117" s="20"/>
      <c r="B1117" s="20"/>
    </row>
    <row r="1118" spans="1:2" ht="15.5" thickBot="1">
      <c r="A1118" s="20"/>
      <c r="B1118" s="20"/>
    </row>
    <row r="1119" spans="1:2" ht="15.5" thickBot="1">
      <c r="A1119" s="20"/>
      <c r="B1119" s="20"/>
    </row>
    <row r="1120" spans="1:2" ht="15.5" thickBot="1">
      <c r="A1120" s="20"/>
      <c r="B1120" s="20"/>
    </row>
    <row r="1121" spans="1:2" ht="15.5" thickBot="1">
      <c r="A1121" s="20"/>
      <c r="B1121" s="20"/>
    </row>
    <row r="1122" spans="1:2" ht="15.5" thickBot="1">
      <c r="A1122" s="20"/>
      <c r="B1122" s="20"/>
    </row>
    <row r="1123" spans="1:2" ht="15.5" thickBot="1">
      <c r="A1123" s="20"/>
      <c r="B1123" s="20"/>
    </row>
    <row r="1124" spans="1:2" ht="15.5" thickBot="1">
      <c r="A1124" s="20"/>
      <c r="B1124" s="20"/>
    </row>
    <row r="1125" spans="1:2" ht="15.5" thickBot="1">
      <c r="A1125" s="20"/>
      <c r="B1125" s="20"/>
    </row>
    <row r="1126" spans="1:2" ht="15.5" thickBot="1">
      <c r="A1126" s="20"/>
      <c r="B1126" s="20"/>
    </row>
    <row r="1127" spans="1:2" ht="15.5" thickBot="1">
      <c r="A1127" s="20"/>
      <c r="B1127" s="20"/>
    </row>
    <row r="1128" spans="1:2" ht="15.5" thickBot="1">
      <c r="A1128" s="20"/>
      <c r="B1128" s="20"/>
    </row>
    <row r="1129" spans="1:2" ht="15.5" thickBot="1">
      <c r="A1129" s="20"/>
      <c r="B1129" s="20"/>
    </row>
    <row r="1130" spans="1:2" ht="15.5" thickBot="1">
      <c r="A1130" s="20"/>
      <c r="B1130" s="20"/>
    </row>
    <row r="1131" spans="1:2" ht="15.5" thickBot="1">
      <c r="A1131" s="20"/>
      <c r="B1131" s="20"/>
    </row>
    <row r="1132" spans="1:2" ht="15.5" thickBot="1">
      <c r="A1132" s="20"/>
      <c r="B1132" s="20"/>
    </row>
    <row r="1133" spans="1:2" ht="15.5" thickBot="1">
      <c r="A1133" s="20"/>
      <c r="B1133" s="20"/>
    </row>
    <row r="1134" spans="1:2" ht="15.5" thickBot="1">
      <c r="A1134" s="20"/>
      <c r="B1134" s="20"/>
    </row>
    <row r="1135" spans="1:2" ht="15.5" thickBot="1">
      <c r="A1135" s="20"/>
      <c r="B1135" s="20"/>
    </row>
    <row r="1136" spans="1:2" ht="15.5" thickBot="1">
      <c r="A1136" s="20"/>
      <c r="B1136" s="20"/>
    </row>
    <row r="1137" spans="1:2" ht="15.5" thickBot="1">
      <c r="A1137" s="20"/>
      <c r="B1137" s="20"/>
    </row>
    <row r="1138" spans="1:2" ht="15.5" thickBot="1">
      <c r="A1138" s="20"/>
      <c r="B1138" s="20"/>
    </row>
    <row r="1139" spans="1:2" ht="15.5" thickBot="1">
      <c r="A1139" s="20"/>
      <c r="B1139" s="20"/>
    </row>
    <row r="1140" spans="1:2" ht="15.5" thickBot="1">
      <c r="A1140" s="20"/>
      <c r="B1140" s="20"/>
    </row>
    <row r="1141" spans="1:2" ht="15.5" thickBot="1">
      <c r="A1141" s="20"/>
      <c r="B1141" s="20"/>
    </row>
    <row r="1142" spans="1:2" ht="15.5" thickBot="1">
      <c r="A1142" s="20"/>
      <c r="B1142" s="20"/>
    </row>
    <row r="1143" spans="1:2" ht="15.5" thickBot="1">
      <c r="A1143" s="20"/>
      <c r="B1143" s="20"/>
    </row>
    <row r="1144" spans="1:2" ht="15.5" thickBot="1">
      <c r="A1144" s="20"/>
      <c r="B1144" s="20"/>
    </row>
    <row r="1145" spans="1:2" ht="15.5" thickBot="1">
      <c r="A1145" s="20"/>
      <c r="B1145" s="20"/>
    </row>
    <row r="1146" spans="1:2" ht="15.5" thickBot="1">
      <c r="A1146" s="20"/>
      <c r="B1146" s="20"/>
    </row>
    <row r="1147" spans="1:2" ht="15.5" thickBot="1">
      <c r="A1147" s="20"/>
      <c r="B1147" s="20"/>
    </row>
    <row r="1148" spans="1:2" ht="15.5" thickBot="1">
      <c r="A1148" s="20"/>
      <c r="B1148" s="20"/>
    </row>
    <row r="1149" spans="1:2" ht="15.5" thickBot="1">
      <c r="A1149" s="20"/>
      <c r="B1149" s="20"/>
    </row>
    <row r="1150" spans="1:2" ht="15.5" thickBot="1">
      <c r="A1150" s="20"/>
      <c r="B1150" s="20"/>
    </row>
    <row r="1151" spans="1:2" ht="15.5" thickBot="1">
      <c r="A1151" s="20"/>
      <c r="B1151" s="20"/>
    </row>
    <row r="1152" spans="1:2" ht="15.5" thickBot="1">
      <c r="A1152" s="20"/>
      <c r="B1152" s="20"/>
    </row>
    <row r="1153" spans="1:2" ht="15.5" thickBot="1">
      <c r="A1153" s="20"/>
      <c r="B1153" s="20"/>
    </row>
    <row r="1154" spans="1:2" ht="15.5" thickBot="1">
      <c r="A1154" s="20"/>
      <c r="B1154" s="20"/>
    </row>
    <row r="1155" spans="1:2" ht="15.5" thickBot="1">
      <c r="A1155" s="20"/>
      <c r="B1155" s="20"/>
    </row>
    <row r="1156" spans="1:2" ht="15.5" thickBot="1">
      <c r="A1156" s="20"/>
      <c r="B1156" s="20"/>
    </row>
    <row r="1157" spans="1:2" ht="15.5" thickBot="1">
      <c r="A1157" s="20"/>
      <c r="B1157" s="20"/>
    </row>
    <row r="1158" spans="1:2" ht="15.5" thickBot="1">
      <c r="A1158" s="20"/>
      <c r="B1158" s="20"/>
    </row>
    <row r="1159" spans="1:2" ht="15.5" thickBot="1">
      <c r="A1159" s="20"/>
      <c r="B1159" s="20"/>
    </row>
    <row r="1160" spans="1:2" ht="15.5" thickBot="1">
      <c r="A1160" s="20"/>
      <c r="B1160" s="20"/>
    </row>
    <row r="1161" spans="1:2" ht="15.5" thickBot="1">
      <c r="A1161" s="20"/>
      <c r="B1161" s="20"/>
    </row>
    <row r="1162" spans="1:2" ht="15.5" thickBot="1">
      <c r="A1162" s="20"/>
      <c r="B1162" s="20"/>
    </row>
    <row r="1163" spans="1:2" ht="15.5" thickBot="1">
      <c r="A1163" s="20"/>
      <c r="B1163" s="20"/>
    </row>
    <row r="1164" spans="1:2" ht="15.5" thickBot="1">
      <c r="A1164" s="20"/>
      <c r="B1164" s="20"/>
    </row>
    <row r="1165" spans="1:2" ht="15.5" thickBot="1">
      <c r="A1165" s="20"/>
      <c r="B1165" s="20"/>
    </row>
    <row r="1166" spans="1:2" ht="15.5" thickBot="1">
      <c r="A1166" s="20"/>
      <c r="B1166" s="20"/>
    </row>
    <row r="1167" spans="1:2" ht="15.5" thickBot="1">
      <c r="A1167" s="20"/>
      <c r="B1167" s="20"/>
    </row>
    <row r="1168" spans="1:2" ht="15.5" thickBot="1">
      <c r="A1168" s="20"/>
      <c r="B1168" s="20"/>
    </row>
    <row r="1169" spans="1:2" ht="15.5" thickBot="1">
      <c r="A1169" s="20"/>
      <c r="B1169" s="20"/>
    </row>
    <row r="1170" spans="1:2" ht="15.5" thickBot="1">
      <c r="A1170" s="20"/>
      <c r="B1170" s="20"/>
    </row>
    <row r="1171" spans="1:2" ht="15.5" thickBot="1">
      <c r="A1171" s="20"/>
      <c r="B1171" s="20"/>
    </row>
    <row r="1172" spans="1:2" ht="15.5" thickBot="1">
      <c r="A1172" s="20"/>
      <c r="B1172" s="20"/>
    </row>
    <row r="1173" spans="1:2" ht="15.5" thickBot="1">
      <c r="A1173" s="20"/>
      <c r="B1173" s="20"/>
    </row>
    <row r="1174" spans="1:2" ht="15.5" thickBot="1">
      <c r="A1174" s="20"/>
      <c r="B1174" s="20"/>
    </row>
    <row r="1175" spans="1:2" ht="15.5" thickBot="1">
      <c r="A1175" s="20"/>
      <c r="B1175" s="20"/>
    </row>
    <row r="1176" spans="1:2" ht="15.5" thickBot="1">
      <c r="A1176" s="20"/>
      <c r="B1176" s="20"/>
    </row>
    <row r="1177" spans="1:2" ht="15.5" thickBot="1">
      <c r="A1177" s="20"/>
      <c r="B1177" s="20"/>
    </row>
    <row r="1178" spans="1:2" ht="15.5" thickBot="1">
      <c r="A1178" s="20"/>
      <c r="B1178" s="20"/>
    </row>
    <row r="1179" spans="1:2" ht="15.5" thickBot="1">
      <c r="A1179" s="20"/>
      <c r="B1179" s="20"/>
    </row>
    <row r="1180" spans="1:2" ht="15.5" thickBot="1">
      <c r="A1180" s="20"/>
      <c r="B1180" s="20"/>
    </row>
    <row r="1181" spans="1:2" ht="15.5" thickBot="1">
      <c r="A1181" s="20"/>
      <c r="B1181" s="20"/>
    </row>
    <row r="1182" spans="1:2" ht="15.5" thickBot="1">
      <c r="A1182" s="20"/>
      <c r="B1182" s="20"/>
    </row>
    <row r="1183" spans="1:2" ht="15.5" thickBot="1">
      <c r="A1183" s="20"/>
      <c r="B1183" s="20"/>
    </row>
    <row r="1184" spans="1:2" ht="15.5" thickBot="1">
      <c r="A1184" s="20"/>
      <c r="B1184" s="20"/>
    </row>
    <row r="1185" spans="1:2" ht="15.5" thickBot="1">
      <c r="A1185" s="20"/>
      <c r="B1185" s="20"/>
    </row>
    <row r="1186" spans="1:2" ht="15.5" thickBot="1">
      <c r="A1186" s="20"/>
      <c r="B1186" s="20"/>
    </row>
    <row r="1187" spans="1:2" ht="15.5" thickBot="1">
      <c r="A1187" s="20"/>
      <c r="B1187" s="20"/>
    </row>
    <row r="1188" spans="1:2" ht="15.5" thickBot="1">
      <c r="A1188" s="20"/>
      <c r="B1188" s="20"/>
    </row>
    <row r="1189" spans="1:2" ht="15.5" thickBot="1">
      <c r="A1189" s="20"/>
      <c r="B1189" s="20"/>
    </row>
    <row r="1190" spans="1:2" ht="15.5" thickBot="1">
      <c r="A1190" s="20"/>
      <c r="B1190" s="20"/>
    </row>
    <row r="1191" spans="1:2" ht="15.5" thickBot="1">
      <c r="A1191" s="20"/>
      <c r="B1191" s="20"/>
    </row>
    <row r="1192" spans="1:2" ht="15.5" thickBot="1">
      <c r="A1192" s="20"/>
      <c r="B1192" s="20"/>
    </row>
    <row r="1193" spans="1:2" ht="15.5" thickBot="1">
      <c r="A1193" s="20"/>
      <c r="B1193" s="20"/>
    </row>
    <row r="1194" spans="1:2" ht="15.5" thickBot="1">
      <c r="A1194" s="20"/>
      <c r="B1194" s="20"/>
    </row>
    <row r="1195" spans="1:2" ht="15.5" thickBot="1">
      <c r="A1195" s="20"/>
      <c r="B1195" s="20"/>
    </row>
    <row r="1196" spans="1:2" ht="15.5" thickBot="1">
      <c r="A1196" s="20"/>
      <c r="B1196" s="20"/>
    </row>
    <row r="1197" spans="1:2" ht="15.5" thickBot="1">
      <c r="A1197" s="20"/>
      <c r="B1197" s="20"/>
    </row>
    <row r="1198" spans="1:2" ht="15.5" thickBot="1">
      <c r="A1198" s="20"/>
      <c r="B1198" s="20"/>
    </row>
    <row r="1199" spans="1:2" ht="15.5" thickBot="1">
      <c r="A1199" s="20"/>
      <c r="B1199" s="20"/>
    </row>
    <row r="1200" spans="1:2" ht="15.5" thickBot="1">
      <c r="A1200" s="20"/>
      <c r="B1200" s="20"/>
    </row>
    <row r="1201" spans="1:2" ht="15.5" thickBot="1">
      <c r="A1201" s="20"/>
      <c r="B1201" s="20"/>
    </row>
    <row r="1202" spans="1:2" ht="15.5" thickBot="1">
      <c r="A1202" s="20"/>
      <c r="B1202" s="20"/>
    </row>
    <row r="1203" spans="1:2" ht="15.5" thickBot="1">
      <c r="A1203" s="20"/>
      <c r="B1203" s="20"/>
    </row>
    <row r="1204" spans="1:2" ht="15.5" thickBot="1">
      <c r="A1204" s="20"/>
      <c r="B1204" s="20"/>
    </row>
    <row r="1205" spans="1:2" ht="15.5" thickBot="1">
      <c r="A1205" s="20"/>
      <c r="B1205" s="20"/>
    </row>
    <row r="1206" spans="1:2" ht="15.5" thickBot="1">
      <c r="A1206" s="20"/>
      <c r="B1206" s="20"/>
    </row>
    <row r="1207" spans="1:2" ht="15.5" thickBot="1">
      <c r="A1207" s="20"/>
      <c r="B1207" s="20"/>
    </row>
    <row r="1208" spans="1:2" ht="15.5" thickBot="1">
      <c r="A1208" s="20"/>
      <c r="B1208" s="20"/>
    </row>
    <row r="1209" spans="1:2" ht="15.5" thickBot="1">
      <c r="A1209" s="20"/>
      <c r="B1209" s="20"/>
    </row>
    <row r="1210" spans="1:2" ht="15.5" thickBot="1">
      <c r="A1210" s="20"/>
      <c r="B1210" s="20"/>
    </row>
    <row r="1211" spans="1:2" ht="15.5" thickBot="1">
      <c r="A1211" s="20"/>
      <c r="B1211" s="20"/>
    </row>
    <row r="1212" spans="1:2" ht="15.5" thickBot="1">
      <c r="A1212" s="20"/>
      <c r="B1212" s="20"/>
    </row>
    <row r="1213" spans="1:2" ht="15.5" thickBot="1">
      <c r="A1213" s="20"/>
      <c r="B1213" s="20"/>
    </row>
    <row r="1214" spans="1:2" ht="15.5" thickBot="1">
      <c r="A1214" s="20"/>
      <c r="B1214" s="20"/>
    </row>
    <row r="1215" spans="1:2" ht="15.5" thickBot="1">
      <c r="A1215" s="20"/>
      <c r="B1215" s="20"/>
    </row>
    <row r="1216" spans="1:2" ht="15.5" thickBot="1">
      <c r="A1216" s="20"/>
      <c r="B1216" s="20"/>
    </row>
    <row r="1217" spans="1:2" ht="15.5" thickBot="1">
      <c r="A1217" s="20"/>
      <c r="B1217" s="20"/>
    </row>
    <row r="1218" spans="1:2" ht="15.5" thickBot="1">
      <c r="A1218" s="20"/>
      <c r="B1218" s="20"/>
    </row>
    <row r="1219" spans="1:2" ht="15.5" thickBot="1">
      <c r="A1219" s="20"/>
      <c r="B1219" s="20"/>
    </row>
    <row r="1220" spans="1:2" ht="15.5" thickBot="1">
      <c r="A1220" s="20"/>
      <c r="B1220" s="20"/>
    </row>
    <row r="1221" spans="1:2" ht="15.5" thickBot="1">
      <c r="A1221" s="20"/>
      <c r="B1221" s="20"/>
    </row>
    <row r="1222" spans="1:2" ht="15.5" thickBot="1">
      <c r="A1222" s="20"/>
      <c r="B1222" s="20"/>
    </row>
    <row r="1223" spans="1:2" ht="15.5" thickBot="1">
      <c r="A1223" s="20"/>
      <c r="B1223" s="20"/>
    </row>
    <row r="1224" spans="1:2" ht="15.5" thickBot="1">
      <c r="A1224" s="20"/>
      <c r="B1224" s="20"/>
    </row>
    <row r="1225" spans="1:2" ht="15.5" thickBot="1">
      <c r="A1225" s="20"/>
      <c r="B1225" s="20"/>
    </row>
    <row r="1226" spans="1:2" ht="15.5" thickBot="1">
      <c r="A1226" s="20"/>
      <c r="B1226" s="20"/>
    </row>
    <row r="1227" spans="1:2" ht="15.5" thickBot="1">
      <c r="A1227" s="20"/>
      <c r="B1227" s="20"/>
    </row>
    <row r="1228" spans="1:2" ht="15.5" thickBot="1">
      <c r="A1228" s="20"/>
      <c r="B1228" s="20"/>
    </row>
    <row r="1229" spans="1:2" ht="15.5" thickBot="1">
      <c r="A1229" s="20"/>
      <c r="B1229" s="20"/>
    </row>
    <row r="1230" spans="1:2" ht="15.5" thickBot="1">
      <c r="A1230" s="20"/>
      <c r="B1230" s="20"/>
    </row>
    <row r="1231" spans="1:2" ht="15.5" thickBot="1">
      <c r="A1231" s="20"/>
      <c r="B1231" s="20"/>
    </row>
    <row r="1232" spans="1:2" ht="15.5" thickBot="1">
      <c r="A1232" s="20"/>
      <c r="B1232" s="20"/>
    </row>
    <row r="1233" spans="1:2" ht="15.5" thickBot="1">
      <c r="A1233" s="20"/>
      <c r="B1233" s="20"/>
    </row>
    <row r="1234" spans="1:2" ht="15.5" thickBot="1">
      <c r="A1234" s="20"/>
      <c r="B1234" s="20"/>
    </row>
    <row r="1235" spans="1:2" ht="15.5" thickBot="1">
      <c r="A1235" s="20"/>
      <c r="B1235" s="20"/>
    </row>
    <row r="1236" spans="1:2" ht="15.5" thickBot="1">
      <c r="A1236" s="20"/>
      <c r="B1236" s="20"/>
    </row>
    <row r="1237" spans="1:2" ht="15.5" thickBot="1">
      <c r="A1237" s="20"/>
      <c r="B1237" s="20"/>
    </row>
    <row r="1238" spans="1:2" ht="15.5" thickBot="1">
      <c r="A1238" s="20"/>
      <c r="B1238" s="20"/>
    </row>
    <row r="1239" spans="1:2" ht="15.5" thickBot="1">
      <c r="A1239" s="20"/>
      <c r="B1239" s="20"/>
    </row>
    <row r="1240" spans="1:2" ht="15.5" thickBot="1">
      <c r="A1240" s="20"/>
      <c r="B1240" s="20"/>
    </row>
    <row r="1241" spans="1:2" ht="15.5" thickBot="1">
      <c r="A1241" s="20"/>
      <c r="B1241" s="20"/>
    </row>
    <row r="1242" spans="1:2" ht="15.5" thickBot="1">
      <c r="A1242" s="20"/>
      <c r="B1242" s="20"/>
    </row>
    <row r="1243" spans="1:2" ht="15.5" thickBot="1">
      <c r="A1243" s="20"/>
      <c r="B1243" s="20"/>
    </row>
    <row r="1244" spans="1:2" ht="15.5" thickBot="1">
      <c r="A1244" s="20"/>
      <c r="B1244" s="20"/>
    </row>
    <row r="1245" spans="1:2" ht="15.5" thickBot="1">
      <c r="A1245" s="20"/>
      <c r="B1245" s="20"/>
    </row>
    <row r="1246" spans="1:2" ht="15.5" thickBot="1">
      <c r="A1246" s="20"/>
      <c r="B1246" s="20"/>
    </row>
    <row r="1247" spans="1:2" ht="15.5" thickBot="1">
      <c r="A1247" s="20"/>
      <c r="B1247" s="20"/>
    </row>
    <row r="1248" spans="1:2" ht="15.5" thickBot="1">
      <c r="A1248" s="20"/>
      <c r="B1248" s="20"/>
    </row>
    <row r="1249" spans="1:2" ht="15.5" thickBot="1">
      <c r="A1249" s="20"/>
      <c r="B1249" s="20"/>
    </row>
    <row r="1250" spans="1:2" ht="15.5" thickBot="1">
      <c r="A1250" s="20"/>
      <c r="B1250" s="20"/>
    </row>
    <row r="1251" spans="1:2" ht="15.5" thickBot="1">
      <c r="A1251" s="20"/>
      <c r="B1251" s="20"/>
    </row>
    <row r="1252" spans="1:2" ht="15.5" thickBot="1">
      <c r="A1252" s="20"/>
      <c r="B1252" s="20"/>
    </row>
    <row r="1253" spans="1:2" ht="15.5" thickBot="1">
      <c r="A1253" s="20"/>
      <c r="B1253" s="20"/>
    </row>
    <row r="1254" spans="1:2" ht="15.5" thickBot="1">
      <c r="A1254" s="20"/>
      <c r="B1254" s="20"/>
    </row>
    <row r="1255" spans="1:2" ht="15.5" thickBot="1">
      <c r="A1255" s="20"/>
      <c r="B1255" s="20"/>
    </row>
    <row r="1256" spans="1:2" ht="15.5" thickBot="1">
      <c r="A1256" s="20"/>
      <c r="B1256" s="20"/>
    </row>
    <row r="1257" spans="1:2" ht="15.5" thickBot="1">
      <c r="A1257" s="20"/>
      <c r="B1257" s="20"/>
    </row>
    <row r="1258" spans="1:2" ht="15.5" thickBot="1">
      <c r="A1258" s="20"/>
      <c r="B1258" s="20"/>
    </row>
    <row r="1259" spans="1:2" ht="15.5" thickBot="1">
      <c r="A1259" s="20"/>
      <c r="B1259" s="20"/>
    </row>
    <row r="1260" spans="1:2" ht="15.5" thickBot="1">
      <c r="A1260" s="20"/>
      <c r="B1260" s="20"/>
    </row>
    <row r="1261" spans="1:2" ht="15.5" thickBot="1">
      <c r="A1261" s="20"/>
      <c r="B1261" s="20"/>
    </row>
    <row r="1262" spans="1:2" ht="15.5" thickBot="1">
      <c r="A1262" s="20"/>
      <c r="B1262" s="20"/>
    </row>
    <row r="1263" spans="1:2" ht="15.5" thickBot="1">
      <c r="A1263" s="20"/>
      <c r="B1263" s="20"/>
    </row>
    <row r="1264" spans="1:2" ht="15.5" thickBot="1">
      <c r="A1264" s="20"/>
      <c r="B1264" s="20"/>
    </row>
    <row r="1265" spans="1:2" ht="15.5" thickBot="1">
      <c r="A1265" s="20"/>
      <c r="B1265" s="20"/>
    </row>
    <row r="1266" spans="1:2" ht="15.5" thickBot="1">
      <c r="A1266" s="20"/>
      <c r="B1266" s="20"/>
    </row>
    <row r="1267" spans="1:2" ht="15.5" thickBot="1">
      <c r="A1267" s="20"/>
      <c r="B1267" s="20"/>
    </row>
    <row r="1268" spans="1:2" ht="15.5" thickBot="1">
      <c r="A1268" s="20"/>
      <c r="B1268" s="20"/>
    </row>
    <row r="1269" spans="1:2" ht="15.5" thickBot="1">
      <c r="A1269" s="20"/>
      <c r="B1269" s="20"/>
    </row>
    <row r="1270" spans="1:2" ht="15.5" thickBot="1">
      <c r="A1270" s="20"/>
      <c r="B1270" s="20"/>
    </row>
    <row r="1271" spans="1:2" ht="15.5" thickBot="1">
      <c r="A1271" s="20"/>
      <c r="B1271" s="20"/>
    </row>
    <row r="1272" spans="1:2" ht="15.5" thickBot="1">
      <c r="A1272" s="20"/>
      <c r="B1272" s="20"/>
    </row>
    <row r="1273" spans="1:2" ht="15.5" thickBot="1">
      <c r="A1273" s="20"/>
      <c r="B1273" s="20"/>
    </row>
    <row r="1274" spans="1:2" ht="15.5" thickBot="1">
      <c r="A1274" s="20"/>
      <c r="B1274" s="20"/>
    </row>
    <row r="1275" spans="1:2" ht="15.5" thickBot="1">
      <c r="A1275" s="20"/>
      <c r="B1275" s="20"/>
    </row>
    <row r="1276" spans="1:2" ht="15.5" thickBot="1">
      <c r="A1276" s="20"/>
      <c r="B1276" s="20"/>
    </row>
    <row r="1277" spans="1:2" ht="15.5" thickBot="1">
      <c r="A1277" s="20"/>
      <c r="B1277" s="20"/>
    </row>
    <row r="1278" spans="1:2" ht="15.5" thickBot="1">
      <c r="A1278" s="20"/>
      <c r="B1278" s="20"/>
    </row>
    <row r="1279" spans="1:2" ht="15.5" thickBot="1">
      <c r="A1279" s="20"/>
      <c r="B1279" s="20"/>
    </row>
    <row r="1280" spans="1:2" ht="15.5" thickBot="1">
      <c r="A1280" s="20"/>
      <c r="B1280" s="20"/>
    </row>
    <row r="1281" spans="1:2" ht="15.5" thickBot="1">
      <c r="A1281" s="20"/>
      <c r="B1281" s="20"/>
    </row>
    <row r="1282" spans="1:2" ht="15.5" thickBot="1">
      <c r="A1282" s="20"/>
      <c r="B1282" s="20"/>
    </row>
    <row r="1283" spans="1:2" ht="15.5" thickBot="1">
      <c r="A1283" s="20"/>
      <c r="B1283" s="20"/>
    </row>
    <row r="1284" spans="1:2" ht="15.5" thickBot="1">
      <c r="A1284" s="20"/>
      <c r="B1284" s="20"/>
    </row>
    <row r="1285" spans="1:2" ht="15.5" thickBot="1">
      <c r="A1285" s="20"/>
      <c r="B1285" s="20"/>
    </row>
    <row r="1286" spans="1:2" ht="15.5" thickBot="1">
      <c r="A1286" s="20"/>
      <c r="B1286" s="20"/>
    </row>
    <row r="1287" spans="1:2" ht="15.5" thickBot="1">
      <c r="A1287" s="20"/>
      <c r="B1287" s="20"/>
    </row>
    <row r="1288" spans="1:2" ht="15.5" thickBot="1">
      <c r="A1288" s="20"/>
      <c r="B1288" s="20"/>
    </row>
    <row r="1289" spans="1:2" ht="15.5" thickBot="1">
      <c r="A1289" s="20"/>
      <c r="B1289" s="20"/>
    </row>
    <row r="1290" spans="1:2" ht="15.5" thickBot="1">
      <c r="A1290" s="20"/>
      <c r="B1290" s="20"/>
    </row>
    <row r="1291" spans="1:2" ht="15.5" thickBot="1">
      <c r="A1291" s="20"/>
      <c r="B1291" s="20"/>
    </row>
    <row r="1292" spans="1:2" ht="15.5" thickBot="1">
      <c r="A1292" s="20"/>
      <c r="B1292" s="20"/>
    </row>
    <row r="1293" spans="1:2" ht="15.5" thickBot="1">
      <c r="A1293" s="20"/>
      <c r="B1293" s="20"/>
    </row>
    <row r="1294" spans="1:2" ht="15.5" thickBot="1">
      <c r="A1294" s="20"/>
      <c r="B1294" s="20"/>
    </row>
    <row r="1295" spans="1:2" ht="15.5" thickBot="1">
      <c r="A1295" s="20"/>
      <c r="B1295" s="20"/>
    </row>
    <row r="1296" spans="1:2" ht="15.5" thickBot="1">
      <c r="A1296" s="20"/>
      <c r="B1296" s="20"/>
    </row>
    <row r="1297" spans="1:2" ht="15.5" thickBot="1">
      <c r="A1297" s="20"/>
      <c r="B1297" s="20"/>
    </row>
    <row r="1298" spans="1:2" ht="15.5" thickBot="1">
      <c r="A1298" s="20"/>
      <c r="B1298" s="20"/>
    </row>
    <row r="1299" spans="1:2" ht="15.5" thickBot="1">
      <c r="A1299" s="20"/>
      <c r="B1299" s="20"/>
    </row>
    <row r="1300" spans="1:2" ht="15.5" thickBot="1">
      <c r="A1300" s="20"/>
      <c r="B1300" s="20"/>
    </row>
    <row r="1301" spans="1:2" ht="15.5" thickBot="1">
      <c r="A1301" s="20"/>
      <c r="B1301" s="20"/>
    </row>
    <row r="1302" spans="1:2" ht="15.5" thickBot="1">
      <c r="A1302" s="20"/>
      <c r="B1302" s="20"/>
    </row>
    <row r="1303" spans="1:2" ht="15.5" thickBot="1">
      <c r="A1303" s="20"/>
      <c r="B1303" s="20"/>
    </row>
    <row r="1304" spans="1:2" ht="15.5" thickBot="1">
      <c r="A1304" s="20"/>
      <c r="B1304" s="20"/>
    </row>
    <row r="1305" spans="1:2" ht="15.5" thickBot="1">
      <c r="A1305" s="20"/>
      <c r="B1305" s="20"/>
    </row>
    <row r="1306" spans="1:2" ht="15.5" thickBot="1">
      <c r="A1306" s="20"/>
      <c r="B1306" s="20"/>
    </row>
    <row r="1307" spans="1:2" ht="15.5" thickBot="1">
      <c r="A1307" s="20"/>
      <c r="B1307" s="20"/>
    </row>
    <row r="1308" spans="1:2" ht="15.5" thickBot="1">
      <c r="A1308" s="20"/>
      <c r="B1308" s="20"/>
    </row>
    <row r="1309" spans="1:2" ht="15.5" thickBot="1">
      <c r="A1309" s="20"/>
      <c r="B1309" s="20"/>
    </row>
    <row r="1310" spans="1:2" ht="15.5" thickBot="1">
      <c r="A1310" s="20"/>
      <c r="B1310" s="20"/>
    </row>
    <row r="1311" spans="1:2" ht="15.5" thickBot="1">
      <c r="A1311" s="20"/>
      <c r="B1311" s="20"/>
    </row>
    <row r="1312" spans="1:2" ht="15.5" thickBot="1">
      <c r="A1312" s="20"/>
      <c r="B1312" s="20"/>
    </row>
    <row r="1313" spans="1:2" ht="15.5" thickBot="1">
      <c r="A1313" s="20"/>
      <c r="B1313" s="20"/>
    </row>
    <row r="1314" spans="1:2" ht="15.5" thickBot="1">
      <c r="A1314" s="20"/>
      <c r="B1314" s="20"/>
    </row>
    <row r="1315" spans="1:2" ht="15.5" thickBot="1">
      <c r="A1315" s="20"/>
      <c r="B1315" s="20"/>
    </row>
    <row r="1316" spans="1:2" ht="15.5" thickBot="1">
      <c r="A1316" s="20"/>
      <c r="B1316" s="20"/>
    </row>
    <row r="1317" spans="1:2" ht="15.5" thickBot="1">
      <c r="A1317" s="20"/>
      <c r="B1317" s="20"/>
    </row>
    <row r="1318" spans="1:2" ht="15.5" thickBot="1">
      <c r="A1318" s="20"/>
      <c r="B1318" s="20"/>
    </row>
    <row r="1319" spans="1:2" ht="15.5" thickBot="1">
      <c r="A1319" s="20"/>
      <c r="B1319" s="20"/>
    </row>
    <row r="1320" spans="1:2" ht="15.5" thickBot="1">
      <c r="A1320" s="20"/>
      <c r="B1320" s="20"/>
    </row>
    <row r="1321" spans="1:2" ht="15.5" thickBot="1">
      <c r="A1321" s="20"/>
      <c r="B1321" s="20"/>
    </row>
    <row r="1322" spans="1:2" ht="15.5" thickBot="1">
      <c r="A1322" s="20"/>
      <c r="B1322" s="20"/>
    </row>
    <row r="1323" spans="1:2" ht="15.5" thickBot="1">
      <c r="A1323" s="20"/>
      <c r="B1323" s="20"/>
    </row>
    <row r="1324" spans="1:2" ht="15.5" thickBot="1">
      <c r="A1324" s="20"/>
      <c r="B1324" s="20"/>
    </row>
    <row r="1325" spans="1:2" ht="15.5" thickBot="1">
      <c r="A1325" s="20"/>
      <c r="B1325" s="20"/>
    </row>
    <row r="1326" spans="1:2" ht="15.5" thickBot="1">
      <c r="A1326" s="20"/>
      <c r="B1326" s="20"/>
    </row>
    <row r="1327" spans="1:2" ht="15.5" thickBot="1">
      <c r="A1327" s="20"/>
      <c r="B1327" s="20"/>
    </row>
    <row r="1328" spans="1:2" ht="15.5" thickBot="1">
      <c r="A1328" s="20"/>
      <c r="B1328" s="20"/>
    </row>
    <row r="1329" spans="1:2" ht="15.5" thickBot="1">
      <c r="A1329" s="20"/>
      <c r="B1329" s="20"/>
    </row>
    <row r="1330" spans="1:2" ht="15.5" thickBot="1">
      <c r="A1330" s="20"/>
      <c r="B1330" s="20"/>
    </row>
    <row r="1331" spans="1:2" ht="15.5" thickBot="1">
      <c r="A1331" s="20"/>
      <c r="B1331" s="20"/>
    </row>
    <row r="1332" spans="1:2" ht="15.5" thickBot="1">
      <c r="A1332" s="20"/>
      <c r="B1332" s="20"/>
    </row>
    <row r="1333" spans="1:2" ht="15.5" thickBot="1">
      <c r="A1333" s="20"/>
      <c r="B1333" s="20"/>
    </row>
    <row r="1334" spans="1:2" ht="15.5" thickBot="1">
      <c r="A1334" s="20"/>
      <c r="B1334" s="20"/>
    </row>
    <row r="1335" spans="1:2" ht="15.5" thickBot="1">
      <c r="A1335" s="20"/>
      <c r="B1335" s="20"/>
    </row>
    <row r="1336" spans="1:2" ht="15.5" thickBot="1">
      <c r="A1336" s="20"/>
      <c r="B1336" s="20"/>
    </row>
    <row r="1337" spans="1:2" ht="15.5" thickBot="1">
      <c r="A1337" s="20"/>
      <c r="B1337" s="20"/>
    </row>
    <row r="1338" spans="1:2" ht="15.5" thickBot="1">
      <c r="A1338" s="20"/>
      <c r="B1338" s="20"/>
    </row>
    <row r="1339" spans="1:2" ht="15.5" thickBot="1">
      <c r="A1339" s="20"/>
      <c r="B1339" s="20"/>
    </row>
    <row r="1340" spans="1:2" ht="15.5" thickBot="1">
      <c r="A1340" s="20"/>
      <c r="B1340" s="20"/>
    </row>
    <row r="1341" spans="1:2" ht="15.5" thickBot="1">
      <c r="A1341" s="20"/>
      <c r="B1341" s="20"/>
    </row>
    <row r="1342" spans="1:2" ht="15.5" thickBot="1">
      <c r="A1342" s="20"/>
      <c r="B1342" s="20"/>
    </row>
    <row r="1343" spans="1:2" ht="15.5" thickBot="1">
      <c r="A1343" s="20"/>
      <c r="B1343" s="20"/>
    </row>
    <row r="1344" spans="1:2" ht="15.5" thickBot="1">
      <c r="A1344" s="20"/>
      <c r="B1344" s="20"/>
    </row>
    <row r="1345" spans="1:2" ht="15.5" thickBot="1">
      <c r="A1345" s="20"/>
      <c r="B1345" s="20"/>
    </row>
    <row r="1346" spans="1:2" ht="15.5" thickBot="1">
      <c r="A1346" s="20"/>
      <c r="B1346" s="20"/>
    </row>
    <row r="1347" spans="1:2" ht="15.5" thickBot="1">
      <c r="A1347" s="20"/>
      <c r="B1347" s="20"/>
    </row>
    <row r="1348" spans="1:2" ht="15.5" thickBot="1">
      <c r="A1348" s="20"/>
      <c r="B1348" s="20"/>
    </row>
    <row r="1349" spans="1:2" ht="15.5" thickBot="1">
      <c r="A1349" s="20"/>
      <c r="B1349" s="20"/>
    </row>
    <row r="1350" spans="1:2" ht="15.5" thickBot="1">
      <c r="A1350" s="20"/>
      <c r="B1350" s="20"/>
    </row>
    <row r="1351" spans="1:2" ht="15.5" thickBot="1">
      <c r="A1351" s="20"/>
      <c r="B1351" s="20"/>
    </row>
    <row r="1352" spans="1:2" ht="15.5" thickBot="1">
      <c r="A1352" s="20"/>
      <c r="B1352" s="20"/>
    </row>
    <row r="1353" spans="1:2" ht="15.5" thickBot="1">
      <c r="A1353" s="20"/>
      <c r="B1353" s="20"/>
    </row>
    <row r="1354" spans="1:2" ht="15.5" thickBot="1">
      <c r="A1354" s="20"/>
      <c r="B1354" s="20"/>
    </row>
    <row r="1355" spans="1:2" ht="15.5" thickBot="1">
      <c r="A1355" s="20"/>
      <c r="B1355" s="20"/>
    </row>
    <row r="1356" spans="1:2" ht="15.5" thickBot="1">
      <c r="A1356" s="20"/>
      <c r="B1356" s="20"/>
    </row>
    <row r="1357" spans="1:2" ht="15.5" thickBot="1">
      <c r="A1357" s="20"/>
      <c r="B1357" s="20"/>
    </row>
    <row r="1358" spans="1:2" ht="15.5" thickBot="1">
      <c r="A1358" s="20"/>
      <c r="B1358" s="20"/>
    </row>
    <row r="1359" spans="1:2" ht="15.5" thickBot="1">
      <c r="A1359" s="20"/>
      <c r="B1359" s="20"/>
    </row>
    <row r="1360" spans="1:2" ht="15.5" thickBot="1">
      <c r="A1360" s="20"/>
      <c r="B1360" s="20"/>
    </row>
    <row r="1361" spans="1:2" ht="15.5" thickBot="1">
      <c r="A1361" s="20"/>
      <c r="B1361" s="20"/>
    </row>
    <row r="1362" spans="1:2" ht="15.5" thickBot="1">
      <c r="A1362" s="20"/>
      <c r="B1362" s="20"/>
    </row>
    <row r="1363" spans="1:2" ht="15.5" thickBot="1">
      <c r="A1363" s="20"/>
      <c r="B1363" s="20"/>
    </row>
    <row r="1364" spans="1:2" ht="15.5" thickBot="1">
      <c r="A1364" s="20"/>
      <c r="B1364" s="20"/>
    </row>
    <row r="1365" spans="1:2" ht="15.5" thickBot="1">
      <c r="A1365" s="20"/>
      <c r="B1365" s="20"/>
    </row>
    <row r="1366" spans="1:2" ht="15.5" thickBot="1">
      <c r="A1366" s="20"/>
      <c r="B1366" s="20"/>
    </row>
    <row r="1367" spans="1:2" ht="15.5" thickBot="1">
      <c r="A1367" s="20"/>
      <c r="B1367" s="20"/>
    </row>
    <row r="1368" spans="1:2" ht="15.5" thickBot="1">
      <c r="A1368" s="20"/>
      <c r="B1368" s="20"/>
    </row>
    <row r="1369" spans="1:2" ht="15.5" thickBot="1">
      <c r="A1369" s="20"/>
      <c r="B1369" s="20"/>
    </row>
    <row r="1370" spans="1:2" ht="15.5" thickBot="1">
      <c r="A1370" s="20"/>
      <c r="B1370" s="20"/>
    </row>
    <row r="1371" spans="1:2" ht="15.5" thickBot="1">
      <c r="A1371" s="20"/>
      <c r="B1371" s="20"/>
    </row>
    <row r="1372" spans="1:2" ht="15.5" thickBot="1">
      <c r="A1372" s="20"/>
      <c r="B1372" s="20"/>
    </row>
    <row r="1373" spans="1:2" ht="15.5" thickBot="1">
      <c r="A1373" s="20"/>
      <c r="B1373" s="20"/>
    </row>
    <row r="1374" spans="1:2" ht="15.5" thickBot="1">
      <c r="A1374" s="20"/>
      <c r="B1374" s="20"/>
    </row>
    <row r="1375" spans="1:2" ht="15.5" thickBot="1">
      <c r="A1375" s="20"/>
      <c r="B1375" s="20"/>
    </row>
    <row r="1376" spans="1:2" ht="15.5" thickBot="1">
      <c r="A1376" s="20"/>
      <c r="B1376" s="20"/>
    </row>
    <row r="1377" spans="1:2" ht="15.5" thickBot="1">
      <c r="A1377" s="20"/>
      <c r="B1377" s="20"/>
    </row>
    <row r="1378" spans="1:2" ht="15.5" thickBot="1">
      <c r="A1378" s="20"/>
      <c r="B1378" s="20"/>
    </row>
    <row r="1379" spans="1:2" ht="15.5" thickBot="1">
      <c r="A1379" s="20"/>
      <c r="B1379" s="20"/>
    </row>
    <row r="1380" spans="1:2" ht="15.5" thickBot="1">
      <c r="A1380" s="20"/>
      <c r="B1380" s="20"/>
    </row>
    <row r="1381" spans="1:2" ht="15.5" thickBot="1">
      <c r="A1381" s="20"/>
      <c r="B1381" s="20"/>
    </row>
    <row r="1382" spans="1:2" ht="15.5" thickBot="1">
      <c r="A1382" s="20"/>
      <c r="B1382" s="20"/>
    </row>
    <row r="1383" spans="1:2" ht="15.5" thickBot="1">
      <c r="A1383" s="20"/>
      <c r="B1383" s="20"/>
    </row>
    <row r="1384" spans="1:2" ht="15.5" thickBot="1">
      <c r="A1384" s="20"/>
      <c r="B1384" s="20"/>
    </row>
    <row r="1385" spans="1:2" ht="15.5" thickBot="1">
      <c r="A1385" s="20"/>
      <c r="B1385" s="20"/>
    </row>
    <row r="1386" spans="1:2" ht="15.5" thickBot="1">
      <c r="A1386" s="20"/>
      <c r="B1386" s="20"/>
    </row>
    <row r="1387" spans="1:2" ht="15.5" thickBot="1">
      <c r="A1387" s="20"/>
      <c r="B1387" s="20"/>
    </row>
    <row r="1388" spans="1:2" ht="15.5" thickBot="1">
      <c r="A1388" s="20"/>
      <c r="B1388" s="20"/>
    </row>
    <row r="1389" spans="1:2" ht="15.5" thickBot="1">
      <c r="A1389" s="20"/>
      <c r="B1389" s="20"/>
    </row>
    <row r="1390" spans="1:2" ht="15.5" thickBot="1">
      <c r="A1390" s="20"/>
      <c r="B1390" s="20"/>
    </row>
    <row r="1391" spans="1:2" ht="15.5" thickBot="1">
      <c r="A1391" s="20"/>
      <c r="B1391" s="20"/>
    </row>
    <row r="1392" spans="1:2" ht="15.5" thickBot="1">
      <c r="A1392" s="20"/>
      <c r="B1392" s="20"/>
    </row>
    <row r="1393" spans="1:2" ht="15.5" thickBot="1">
      <c r="A1393" s="20"/>
      <c r="B1393" s="20"/>
    </row>
    <row r="1394" spans="1:2" ht="15.5" thickBot="1">
      <c r="A1394" s="20"/>
      <c r="B1394" s="20"/>
    </row>
    <row r="1395" spans="1:2" ht="15.5" thickBot="1">
      <c r="A1395" s="20"/>
      <c r="B1395" s="20"/>
    </row>
    <row r="1396" spans="1:2" ht="15.5" thickBot="1">
      <c r="A1396" s="20"/>
      <c r="B1396" s="20"/>
    </row>
    <row r="1397" spans="1:2" ht="15.5" thickBot="1">
      <c r="A1397" s="20"/>
      <c r="B1397" s="20"/>
    </row>
    <row r="1398" spans="1:2" ht="15.5" thickBot="1">
      <c r="A1398" s="20"/>
      <c r="B1398" s="20"/>
    </row>
    <row r="1399" spans="1:2" ht="15.5" thickBot="1">
      <c r="A1399" s="20"/>
      <c r="B1399" s="20"/>
    </row>
    <row r="1400" spans="1:2" ht="15.5" thickBot="1">
      <c r="A1400" s="20"/>
      <c r="B1400" s="20"/>
    </row>
    <row r="1401" spans="1:2" ht="15.5" thickBot="1">
      <c r="A1401" s="20"/>
      <c r="B1401" s="20"/>
    </row>
    <row r="1402" spans="1:2" ht="15.5" thickBot="1">
      <c r="A1402" s="20"/>
      <c r="B1402" s="20"/>
    </row>
    <row r="1403" spans="1:2" ht="15.5" thickBot="1">
      <c r="A1403" s="20"/>
      <c r="B1403" s="20"/>
    </row>
    <row r="1404" spans="1:2" ht="15.5" thickBot="1">
      <c r="A1404" s="20"/>
      <c r="B1404" s="20"/>
    </row>
    <row r="1405" spans="1:2" ht="15.5" thickBot="1">
      <c r="A1405" s="20"/>
      <c r="B1405" s="20"/>
    </row>
    <row r="1406" spans="1:2" ht="15.5" thickBot="1">
      <c r="A1406" s="20"/>
      <c r="B1406" s="20"/>
    </row>
    <row r="1407" spans="1:2" ht="15.5" thickBot="1">
      <c r="A1407" s="20"/>
      <c r="B1407" s="20"/>
    </row>
    <row r="1408" spans="1:2" ht="15.5" thickBot="1">
      <c r="A1408" s="20"/>
      <c r="B1408" s="20"/>
    </row>
    <row r="1409" spans="1:2" ht="15.5" thickBot="1">
      <c r="A1409" s="20"/>
      <c r="B1409" s="20"/>
    </row>
    <row r="1410" spans="1:2" ht="15.5" thickBot="1">
      <c r="A1410" s="20"/>
      <c r="B1410" s="20"/>
    </row>
    <row r="1411" spans="1:2" ht="15.5" thickBot="1">
      <c r="A1411" s="20"/>
      <c r="B1411" s="20"/>
    </row>
    <row r="1412" spans="1:2" ht="15.5" thickBot="1">
      <c r="A1412" s="20"/>
      <c r="B1412" s="20"/>
    </row>
    <row r="1413" spans="1:2" ht="15.5" thickBot="1">
      <c r="A1413" s="20"/>
      <c r="B1413" s="20"/>
    </row>
    <row r="1414" spans="1:2" ht="15.5" thickBot="1">
      <c r="A1414" s="20"/>
      <c r="B1414" s="20"/>
    </row>
    <row r="1415" spans="1:2" ht="15.5" thickBot="1">
      <c r="A1415" s="20"/>
      <c r="B1415" s="20"/>
    </row>
    <row r="1416" spans="1:2" ht="15.5" thickBot="1">
      <c r="A1416" s="20"/>
      <c r="B1416" s="20"/>
    </row>
    <row r="1417" spans="1:2" ht="15.5" thickBot="1">
      <c r="A1417" s="20"/>
      <c r="B1417" s="20"/>
    </row>
    <row r="1418" spans="1:2" ht="15.5" thickBot="1">
      <c r="A1418" s="20"/>
      <c r="B1418" s="20"/>
    </row>
    <row r="1419" spans="1:2" ht="15.5" thickBot="1">
      <c r="A1419" s="20"/>
      <c r="B1419" s="20"/>
    </row>
    <row r="1420" spans="1:2" ht="15.5" thickBot="1">
      <c r="A1420" s="20"/>
      <c r="B1420" s="20"/>
    </row>
    <row r="1421" spans="1:2" ht="15.5" thickBot="1">
      <c r="A1421" s="20"/>
      <c r="B1421" s="20"/>
    </row>
    <row r="1422" spans="1:2" ht="15.5" thickBot="1">
      <c r="A1422" s="20"/>
      <c r="B1422" s="20"/>
    </row>
    <row r="1423" spans="1:2" ht="15.5" thickBot="1">
      <c r="A1423" s="20"/>
      <c r="B1423" s="20"/>
    </row>
    <row r="1424" spans="1:2" ht="15.5" thickBot="1">
      <c r="A1424" s="20"/>
      <c r="B1424" s="20"/>
    </row>
    <row r="1425" spans="1:2" ht="15.5" thickBot="1">
      <c r="A1425" s="20"/>
      <c r="B1425" s="20"/>
    </row>
    <row r="1426" spans="1:2" ht="15.5" thickBot="1">
      <c r="A1426" s="20"/>
      <c r="B1426" s="20"/>
    </row>
    <row r="1427" spans="1:2" ht="15.5" thickBot="1">
      <c r="A1427" s="20"/>
      <c r="B1427" s="20"/>
    </row>
    <row r="1428" spans="1:2" ht="15.5" thickBot="1">
      <c r="A1428" s="20"/>
      <c r="B1428" s="20"/>
    </row>
    <row r="1429" spans="1:2" ht="15.5" thickBot="1">
      <c r="A1429" s="20"/>
      <c r="B1429" s="20"/>
    </row>
    <row r="1430" spans="1:2" ht="15.5" thickBot="1">
      <c r="A1430" s="20"/>
      <c r="B1430" s="20"/>
    </row>
    <row r="1431" spans="1:2" ht="15.5" thickBot="1">
      <c r="A1431" s="20"/>
      <c r="B1431" s="20"/>
    </row>
    <row r="1432" spans="1:2" ht="15.5" thickBot="1">
      <c r="A1432" s="20"/>
      <c r="B1432" s="20"/>
    </row>
    <row r="1433" spans="1:2" ht="15.5" thickBot="1">
      <c r="A1433" s="20"/>
      <c r="B1433" s="20"/>
    </row>
    <row r="1434" spans="1:2" ht="15.5" thickBot="1">
      <c r="A1434" s="20"/>
      <c r="B1434" s="20"/>
    </row>
    <row r="1435" spans="1:2" ht="15.5" thickBot="1">
      <c r="A1435" s="20"/>
      <c r="B1435" s="20"/>
    </row>
    <row r="1436" spans="1:2" ht="15.5" thickBot="1">
      <c r="A1436" s="20"/>
      <c r="B1436" s="20"/>
    </row>
    <row r="1437" spans="1:2" ht="15.5" thickBot="1">
      <c r="A1437" s="20"/>
      <c r="B1437" s="20"/>
    </row>
    <row r="1438" spans="1:2" ht="15.5" thickBot="1">
      <c r="A1438" s="20"/>
      <c r="B1438" s="20"/>
    </row>
    <row r="1439" spans="1:2" ht="15.5" thickBot="1">
      <c r="A1439" s="20"/>
      <c r="B1439" s="20"/>
    </row>
    <row r="1440" spans="1:2" ht="15.5" thickBot="1">
      <c r="A1440" s="20"/>
      <c r="B1440" s="20"/>
    </row>
    <row r="1441" spans="1:2" ht="15.5" thickBot="1">
      <c r="A1441" s="20"/>
      <c r="B1441" s="20"/>
    </row>
    <row r="1442" spans="1:2" ht="15.5" thickBot="1">
      <c r="A1442" s="20"/>
      <c r="B1442" s="20"/>
    </row>
    <row r="1443" spans="1:2" ht="15.5" thickBot="1">
      <c r="A1443" s="20"/>
      <c r="B1443" s="20"/>
    </row>
    <row r="1444" spans="1:2" ht="15.5" thickBot="1">
      <c r="A1444" s="20"/>
      <c r="B1444" s="20"/>
    </row>
    <row r="1445" spans="1:2" ht="15.5" thickBot="1">
      <c r="A1445" s="20"/>
      <c r="B1445" s="20"/>
    </row>
    <row r="1446" spans="1:2" ht="15.5" thickBot="1">
      <c r="A1446" s="20"/>
      <c r="B1446" s="20"/>
    </row>
    <row r="1447" spans="1:2" ht="15.5" thickBot="1">
      <c r="A1447" s="20"/>
      <c r="B1447" s="20"/>
    </row>
    <row r="1448" spans="1:2" ht="15.5" thickBot="1">
      <c r="A1448" s="20"/>
      <c r="B1448" s="20"/>
    </row>
    <row r="1449" spans="1:2" ht="15.5" thickBot="1">
      <c r="A1449" s="20"/>
      <c r="B1449" s="20"/>
    </row>
    <row r="1450" spans="1:2" ht="15.5" thickBot="1">
      <c r="A1450" s="20"/>
      <c r="B1450" s="20"/>
    </row>
    <row r="1451" spans="1:2" ht="15.5" thickBot="1">
      <c r="A1451" s="20"/>
      <c r="B1451" s="20"/>
    </row>
    <row r="1452" spans="1:2" ht="15.5" thickBot="1">
      <c r="A1452" s="20"/>
      <c r="B1452" s="20"/>
    </row>
    <row r="1453" spans="1:2" ht="15.5" thickBot="1">
      <c r="A1453" s="20"/>
      <c r="B1453" s="20"/>
    </row>
    <row r="1454" spans="1:2" ht="15.5" thickBot="1">
      <c r="A1454" s="20"/>
      <c r="B1454" s="20"/>
    </row>
    <row r="1455" spans="1:2" ht="15.5" thickBot="1">
      <c r="A1455" s="20"/>
      <c r="B1455" s="20"/>
    </row>
    <row r="1456" spans="1:2" ht="15.5" thickBot="1">
      <c r="A1456" s="20"/>
      <c r="B1456" s="20"/>
    </row>
    <row r="1457" spans="1:2" ht="15.5" thickBot="1">
      <c r="A1457" s="20"/>
      <c r="B1457" s="20"/>
    </row>
    <row r="1458" spans="1:2" ht="15.5" thickBot="1">
      <c r="A1458" s="20"/>
      <c r="B1458" s="20"/>
    </row>
    <row r="1459" spans="1:2" ht="15.5" thickBot="1">
      <c r="A1459" s="20"/>
      <c r="B1459" s="20"/>
    </row>
    <row r="1460" spans="1:2" ht="15.5" thickBot="1">
      <c r="A1460" s="20"/>
      <c r="B1460" s="20"/>
    </row>
    <row r="1461" spans="1:2" ht="15.5" thickBot="1">
      <c r="A1461" s="20"/>
      <c r="B1461" s="20"/>
    </row>
    <row r="1462" spans="1:2" ht="15.5" thickBot="1">
      <c r="A1462" s="20"/>
      <c r="B1462" s="20"/>
    </row>
    <row r="1463" spans="1:2" ht="15.5" thickBot="1">
      <c r="A1463" s="20"/>
      <c r="B1463" s="20"/>
    </row>
    <row r="1464" spans="1:2" ht="15.5" thickBot="1">
      <c r="A1464" s="20"/>
      <c r="B1464" s="20"/>
    </row>
    <row r="1465" spans="1:2" ht="15.5" thickBot="1">
      <c r="A1465" s="20"/>
      <c r="B1465" s="20"/>
    </row>
    <row r="1466" spans="1:2" ht="15.5" thickBot="1">
      <c r="A1466" s="20"/>
      <c r="B1466" s="20"/>
    </row>
    <row r="1467" spans="1:2" ht="15.5" thickBot="1">
      <c r="A1467" s="20"/>
      <c r="B1467" s="20"/>
    </row>
    <row r="1468" spans="1:2" ht="15.5" thickBot="1">
      <c r="A1468" s="20"/>
      <c r="B1468" s="20"/>
    </row>
    <row r="1469" spans="1:2" ht="15.5" thickBot="1">
      <c r="A1469" s="20"/>
      <c r="B1469" s="20"/>
    </row>
    <row r="1470" spans="1:2" ht="15.5" thickBot="1">
      <c r="A1470" s="20"/>
      <c r="B1470" s="20"/>
    </row>
    <row r="1471" spans="1:2" ht="15.5" thickBot="1">
      <c r="A1471" s="20"/>
      <c r="B1471" s="20"/>
    </row>
    <row r="1472" spans="1:2" ht="15.5" thickBot="1">
      <c r="A1472" s="20"/>
      <c r="B1472" s="20"/>
    </row>
    <row r="1473" spans="1:2" ht="15.5" thickBot="1">
      <c r="A1473" s="20"/>
      <c r="B1473" s="20"/>
    </row>
    <row r="1474" spans="1:2" ht="15.5" thickBot="1">
      <c r="A1474" s="20"/>
      <c r="B1474" s="20"/>
    </row>
    <row r="1475" spans="1:2" ht="15.5" thickBot="1">
      <c r="A1475" s="20"/>
      <c r="B1475" s="20"/>
    </row>
    <row r="1476" spans="1:2" ht="15.5" thickBot="1">
      <c r="A1476" s="20"/>
      <c r="B1476" s="20"/>
    </row>
    <row r="1477" spans="1:2" ht="15.5" thickBot="1">
      <c r="A1477" s="20"/>
      <c r="B1477" s="20"/>
    </row>
    <row r="1478" spans="1:2" ht="15.5" thickBot="1">
      <c r="A1478" s="20"/>
      <c r="B1478" s="20"/>
    </row>
    <row r="1479" spans="1:2" ht="15.5" thickBot="1">
      <c r="A1479" s="20"/>
      <c r="B1479" s="20"/>
    </row>
    <row r="1480" spans="1:2" ht="15.5" thickBot="1">
      <c r="A1480" s="20"/>
      <c r="B1480" s="20"/>
    </row>
    <row r="1481" spans="1:2" ht="15.5" thickBot="1">
      <c r="A1481" s="20"/>
      <c r="B1481" s="20"/>
    </row>
    <row r="1482" spans="1:2" ht="15.5" thickBot="1">
      <c r="A1482" s="20"/>
      <c r="B1482" s="20"/>
    </row>
    <row r="1483" spans="1:2" ht="15.5" thickBot="1">
      <c r="A1483" s="20"/>
      <c r="B1483" s="20"/>
    </row>
    <row r="1484" spans="1:2" ht="15.5" thickBot="1">
      <c r="A1484" s="20"/>
      <c r="B1484" s="20"/>
    </row>
    <row r="1485" spans="1:2" ht="15.5" thickBot="1">
      <c r="A1485" s="20"/>
      <c r="B1485" s="20"/>
    </row>
    <row r="1486" spans="1:2" ht="15.5" thickBot="1">
      <c r="A1486" s="20"/>
      <c r="B1486" s="20"/>
    </row>
    <row r="1487" spans="1:2" ht="15.5" thickBot="1">
      <c r="A1487" s="20"/>
      <c r="B1487" s="20"/>
    </row>
    <row r="1488" spans="1:2" ht="15.5" thickBot="1">
      <c r="A1488" s="20"/>
      <c r="B1488" s="20"/>
    </row>
    <row r="1489" spans="1:2" ht="15.5" thickBot="1">
      <c r="A1489" s="20"/>
      <c r="B1489" s="20"/>
    </row>
    <row r="1490" spans="1:2" ht="15.5" thickBot="1">
      <c r="A1490" s="20"/>
      <c r="B1490" s="20"/>
    </row>
    <row r="1491" spans="1:2" ht="15.5" thickBot="1">
      <c r="A1491" s="20"/>
      <c r="B1491" s="20"/>
    </row>
    <row r="1492" spans="1:2" ht="15.5" thickBot="1">
      <c r="A1492" s="20"/>
      <c r="B1492" s="20"/>
    </row>
    <row r="1493" spans="1:2" ht="15.5" thickBot="1">
      <c r="A1493" s="20"/>
      <c r="B1493" s="20"/>
    </row>
    <row r="1494" spans="1:2" ht="15.5" thickBot="1">
      <c r="A1494" s="20"/>
      <c r="B1494" s="20"/>
    </row>
    <row r="1495" spans="1:2" ht="15.5" thickBot="1">
      <c r="A1495" s="20"/>
      <c r="B1495" s="20"/>
    </row>
    <row r="1496" spans="1:2" ht="15.5" thickBot="1">
      <c r="A1496" s="20"/>
      <c r="B1496" s="20"/>
    </row>
    <row r="1497" spans="1:2" ht="15.5" thickBot="1">
      <c r="A1497" s="20"/>
      <c r="B1497" s="20"/>
    </row>
    <row r="1498" spans="1:2" ht="15.5" thickBot="1">
      <c r="A1498" s="20"/>
      <c r="B1498" s="20"/>
    </row>
    <row r="1499" spans="1:2" ht="15.5" thickBot="1">
      <c r="A1499" s="20"/>
      <c r="B1499" s="20"/>
    </row>
    <row r="1500" spans="1:2" ht="15.5" thickBot="1">
      <c r="A1500" s="20"/>
      <c r="B1500" s="20"/>
    </row>
    <row r="1501" spans="1:2" ht="15.5" thickBot="1">
      <c r="A1501" s="20"/>
      <c r="B1501" s="20"/>
    </row>
    <row r="1502" spans="1:2" ht="15.5" thickBot="1">
      <c r="A1502" s="20"/>
      <c r="B1502" s="20"/>
    </row>
    <row r="1503" spans="1:2" ht="15.5" thickBot="1">
      <c r="A1503" s="20"/>
      <c r="B1503" s="20"/>
    </row>
    <row r="1504" spans="1:2" ht="15.5" thickBot="1">
      <c r="A1504" s="20"/>
      <c r="B1504" s="20"/>
    </row>
    <row r="1505" spans="1:2" ht="15.5" thickBot="1">
      <c r="A1505" s="20"/>
      <c r="B1505" s="20"/>
    </row>
    <row r="1506" spans="1:2" ht="15.5" thickBot="1">
      <c r="A1506" s="20"/>
      <c r="B1506" s="20"/>
    </row>
    <row r="1507" spans="1:2" ht="15.5" thickBot="1">
      <c r="A1507" s="20"/>
      <c r="B1507" s="20"/>
    </row>
    <row r="1508" spans="1:2" ht="15.5" thickBot="1">
      <c r="A1508" s="20"/>
      <c r="B1508" s="20"/>
    </row>
    <row r="1509" spans="1:2" ht="15.5" thickBot="1">
      <c r="A1509" s="20"/>
      <c r="B1509" s="20"/>
    </row>
    <row r="1510" spans="1:2" ht="15.5" thickBot="1">
      <c r="A1510" s="20"/>
      <c r="B1510" s="20"/>
    </row>
    <row r="1511" spans="1:2" ht="15.5" thickBot="1">
      <c r="A1511" s="20"/>
      <c r="B1511" s="20"/>
    </row>
    <row r="1512" spans="1:2" ht="15.5" thickBot="1">
      <c r="A1512" s="20"/>
      <c r="B1512" s="20"/>
    </row>
    <row r="1513" spans="1:2" ht="15.5" thickBot="1">
      <c r="A1513" s="20"/>
      <c r="B1513" s="20"/>
    </row>
    <row r="1514" spans="1:2" ht="15.5" thickBot="1">
      <c r="A1514" s="20"/>
      <c r="B1514" s="20"/>
    </row>
    <row r="1515" spans="1:2" ht="15.5" thickBot="1">
      <c r="A1515" s="20"/>
      <c r="B1515" s="20"/>
    </row>
    <row r="1516" spans="1:2" ht="15.5" thickBot="1">
      <c r="A1516" s="20"/>
      <c r="B1516" s="20"/>
    </row>
    <row r="1517" spans="1:2" ht="15.5" thickBot="1">
      <c r="A1517" s="20"/>
      <c r="B1517" s="20"/>
    </row>
    <row r="1518" spans="1:2" ht="15.5" thickBot="1">
      <c r="A1518" s="20"/>
      <c r="B1518" s="20"/>
    </row>
    <row r="1519" spans="1:2" ht="15.5" thickBot="1">
      <c r="A1519" s="20"/>
      <c r="B1519" s="20"/>
    </row>
    <row r="1520" spans="1:2" ht="15.5" thickBot="1">
      <c r="A1520" s="20"/>
      <c r="B1520" s="20"/>
    </row>
    <row r="1521" spans="1:2" ht="15.5" thickBot="1">
      <c r="A1521" s="20"/>
      <c r="B1521" s="20"/>
    </row>
    <row r="1522" spans="1:2" ht="15.5" thickBot="1">
      <c r="A1522" s="20"/>
      <c r="B1522" s="20"/>
    </row>
    <row r="1523" spans="1:2" ht="15.5" thickBot="1">
      <c r="A1523" s="20"/>
      <c r="B1523" s="20"/>
    </row>
    <row r="1524" spans="1:2" ht="15.5" thickBot="1">
      <c r="A1524" s="20"/>
      <c r="B1524" s="20"/>
    </row>
    <row r="1525" spans="1:2" ht="15.5" thickBot="1">
      <c r="A1525" s="20"/>
      <c r="B1525" s="20"/>
    </row>
    <row r="1526" spans="1:2" ht="15.5" thickBot="1">
      <c r="A1526" s="20"/>
      <c r="B1526" s="20"/>
    </row>
    <row r="1527" spans="1:2" ht="15.5" thickBot="1">
      <c r="A1527" s="20"/>
      <c r="B1527" s="20"/>
    </row>
    <row r="1528" spans="1:2" ht="15.5" thickBot="1">
      <c r="A1528" s="20"/>
      <c r="B1528" s="20"/>
    </row>
    <row r="1529" spans="1:2" ht="15.5" thickBot="1">
      <c r="A1529" s="20"/>
      <c r="B1529" s="20"/>
    </row>
    <row r="1530" spans="1:2" ht="15.5" thickBot="1">
      <c r="A1530" s="20"/>
      <c r="B1530" s="20"/>
    </row>
    <row r="1531" spans="1:2" ht="15.5" thickBot="1">
      <c r="A1531" s="20"/>
      <c r="B1531" s="20"/>
    </row>
    <row r="1532" spans="1:2" ht="15.5" thickBot="1">
      <c r="A1532" s="20"/>
      <c r="B1532" s="20"/>
    </row>
    <row r="1533" spans="1:2" ht="15.5" thickBot="1">
      <c r="A1533" s="20"/>
      <c r="B1533" s="20"/>
    </row>
    <row r="1534" spans="1:2" ht="15.5" thickBot="1">
      <c r="A1534" s="20"/>
      <c r="B1534" s="20"/>
    </row>
    <row r="1535" spans="1:2" ht="15.5" thickBot="1">
      <c r="A1535" s="20"/>
      <c r="B1535" s="20"/>
    </row>
    <row r="1536" spans="1:2" ht="15.5" thickBot="1">
      <c r="A1536" s="20"/>
      <c r="B1536" s="20"/>
    </row>
    <row r="1537" spans="1:2" ht="15.5" thickBot="1">
      <c r="A1537" s="20"/>
      <c r="B1537" s="20"/>
    </row>
    <row r="1538" spans="1:2" ht="15.5" thickBot="1">
      <c r="A1538" s="20"/>
      <c r="B1538" s="20"/>
    </row>
    <row r="1539" spans="1:2" ht="15.5" thickBot="1">
      <c r="A1539" s="20"/>
      <c r="B1539" s="20"/>
    </row>
    <row r="1540" spans="1:2" ht="15.5" thickBot="1">
      <c r="A1540" s="20"/>
      <c r="B1540" s="20"/>
    </row>
    <row r="1541" spans="1:2" ht="15.5" thickBot="1">
      <c r="A1541" s="20"/>
      <c r="B1541" s="20"/>
    </row>
    <row r="1542" spans="1:2" ht="15.5" thickBot="1">
      <c r="A1542" s="20"/>
      <c r="B1542" s="20"/>
    </row>
    <row r="1543" spans="1:2" ht="15.5" thickBot="1">
      <c r="A1543" s="20"/>
      <c r="B1543" s="20"/>
    </row>
    <row r="1544" spans="1:2" ht="15.5" thickBot="1">
      <c r="A1544" s="20"/>
      <c r="B1544" s="20"/>
    </row>
    <row r="1545" spans="1:2" ht="15.5" thickBot="1">
      <c r="A1545" s="20"/>
      <c r="B1545" s="20"/>
    </row>
    <row r="1546" spans="1:2" ht="15.5" thickBot="1">
      <c r="A1546" s="20"/>
      <c r="B1546" s="20"/>
    </row>
    <row r="1547" spans="1:2" ht="15.5" thickBot="1">
      <c r="A1547" s="20"/>
      <c r="B1547" s="20"/>
    </row>
    <row r="1548" spans="1:2" ht="15.5" thickBot="1">
      <c r="A1548" s="20"/>
      <c r="B1548" s="20"/>
    </row>
    <row r="1549" spans="1:2" ht="15.5" thickBot="1">
      <c r="A1549" s="20"/>
      <c r="B1549" s="20"/>
    </row>
    <row r="1550" spans="1:2" ht="15.5" thickBot="1">
      <c r="A1550" s="20"/>
      <c r="B1550" s="20"/>
    </row>
    <row r="1551" spans="1:2" ht="15.5" thickBot="1">
      <c r="A1551" s="20"/>
      <c r="B1551" s="20"/>
    </row>
    <row r="1552" spans="1:2" ht="15.5" thickBot="1">
      <c r="A1552" s="20"/>
      <c r="B1552" s="20"/>
    </row>
    <row r="1553" spans="1:2" ht="15.5" thickBot="1">
      <c r="A1553" s="20"/>
      <c r="B1553" s="20"/>
    </row>
    <row r="1554" spans="1:2" ht="15.5" thickBot="1">
      <c r="A1554" s="20"/>
      <c r="B1554" s="20"/>
    </row>
    <row r="1555" spans="1:2" ht="15.5" thickBot="1">
      <c r="A1555" s="20"/>
      <c r="B1555" s="20"/>
    </row>
    <row r="1556" spans="1:2" ht="15.5" thickBot="1">
      <c r="A1556" s="20"/>
      <c r="B1556" s="20"/>
    </row>
    <row r="1557" spans="1:2" ht="15.5" thickBot="1">
      <c r="A1557" s="20"/>
      <c r="B1557" s="20"/>
    </row>
    <row r="1558" spans="1:2" ht="15.5" thickBot="1">
      <c r="A1558" s="20"/>
      <c r="B1558" s="20"/>
    </row>
    <row r="1559" spans="1:2" ht="15.5" thickBot="1">
      <c r="A1559" s="20"/>
      <c r="B1559" s="20"/>
    </row>
    <row r="1560" spans="1:2" ht="15.5" thickBot="1">
      <c r="A1560" s="20"/>
      <c r="B1560" s="20"/>
    </row>
    <row r="1561" spans="1:2" ht="15.5" thickBot="1">
      <c r="A1561" s="20"/>
      <c r="B1561" s="20"/>
    </row>
    <row r="1562" spans="1:2" ht="15.5" thickBot="1">
      <c r="A1562" s="20"/>
      <c r="B1562" s="20"/>
    </row>
    <row r="1563" spans="1:2" ht="15.5" thickBot="1">
      <c r="A1563" s="20"/>
      <c r="B1563" s="20"/>
    </row>
    <row r="1564" spans="1:2" ht="15.5" thickBot="1">
      <c r="A1564" s="20"/>
      <c r="B1564" s="20"/>
    </row>
    <row r="1565" spans="1:2" ht="15.5" thickBot="1">
      <c r="A1565" s="20"/>
      <c r="B1565" s="20"/>
    </row>
    <row r="1566" spans="1:2" ht="15.5" thickBot="1">
      <c r="A1566" s="20"/>
      <c r="B1566" s="20"/>
    </row>
    <row r="1567" spans="1:2" ht="15.5" thickBot="1">
      <c r="A1567" s="20"/>
      <c r="B1567" s="2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14E2-E673-423F-8169-F71E3FA8B4F2}">
  <dimension ref="A1:AA32"/>
  <sheetViews>
    <sheetView zoomScale="85" zoomScaleNormal="85" workbookViewId="0">
      <selection sqref="A1:C14"/>
    </sheetView>
  </sheetViews>
  <sheetFormatPr defaultRowHeight="15"/>
  <sheetData>
    <row r="1" spans="1:27">
      <c r="A1" t="s">
        <v>160</v>
      </c>
      <c r="B1" t="s">
        <v>40</v>
      </c>
      <c r="C1" t="s">
        <v>41</v>
      </c>
      <c r="D1" t="s">
        <v>6</v>
      </c>
      <c r="E1" t="s">
        <v>35</v>
      </c>
      <c r="F1" t="s">
        <v>36</v>
      </c>
      <c r="G1" t="s">
        <v>5</v>
      </c>
      <c r="H1" t="s">
        <v>43</v>
      </c>
    </row>
    <row r="2" spans="1:27">
      <c r="A2" t="s">
        <v>162</v>
      </c>
      <c r="B2">
        <v>258.01</v>
      </c>
      <c r="C2">
        <f>I17</f>
        <v>1493.78</v>
      </c>
      <c r="D2">
        <v>144.63</v>
      </c>
      <c r="E2">
        <v>42.75</v>
      </c>
      <c r="F2">
        <v>6.62</v>
      </c>
      <c r="G2">
        <v>31.7</v>
      </c>
      <c r="H2">
        <v>32.31</v>
      </c>
    </row>
    <row r="3" spans="1:27" ht="15.5" thickBot="1">
      <c r="A3" t="s">
        <v>163</v>
      </c>
      <c r="B3">
        <v>241.43</v>
      </c>
      <c r="C3">
        <f>I18</f>
        <v>1296.53</v>
      </c>
      <c r="D3">
        <v>143.6</v>
      </c>
      <c r="E3">
        <v>47.12</v>
      </c>
      <c r="F3">
        <v>4</v>
      </c>
      <c r="G3">
        <v>18.510000000000002</v>
      </c>
      <c r="H3">
        <v>28.2</v>
      </c>
    </row>
    <row r="4" spans="1:27" ht="23" thickBot="1">
      <c r="A4" t="s">
        <v>164</v>
      </c>
      <c r="B4">
        <v>268.61</v>
      </c>
      <c r="C4">
        <f>I19</f>
        <v>1666.73</v>
      </c>
      <c r="D4">
        <v>142.58000000000001</v>
      </c>
      <c r="E4">
        <v>58.9</v>
      </c>
      <c r="F4">
        <v>2.68</v>
      </c>
      <c r="G4">
        <v>24.93</v>
      </c>
      <c r="H4">
        <v>39.520000000000003</v>
      </c>
      <c r="N4" s="16" t="s">
        <v>42</v>
      </c>
      <c r="O4" s="16" t="s">
        <v>27</v>
      </c>
      <c r="P4" s="16" t="s">
        <v>6</v>
      </c>
      <c r="Q4" s="16" t="s">
        <v>35</v>
      </c>
      <c r="R4" s="16" t="s">
        <v>36</v>
      </c>
      <c r="S4" s="16" t="s">
        <v>5</v>
      </c>
      <c r="T4" s="16" t="s">
        <v>43</v>
      </c>
    </row>
    <row r="5" spans="1:27" ht="23" thickBot="1">
      <c r="A5" t="s">
        <v>165</v>
      </c>
      <c r="B5">
        <v>166.33</v>
      </c>
      <c r="C5">
        <f>I20</f>
        <v>848.9</v>
      </c>
      <c r="D5">
        <v>90.91</v>
      </c>
      <c r="E5">
        <v>39.96</v>
      </c>
      <c r="F5">
        <v>2.23</v>
      </c>
      <c r="G5">
        <v>10.3</v>
      </c>
      <c r="H5">
        <v>22.93</v>
      </c>
      <c r="N5" s="17">
        <v>2025</v>
      </c>
      <c r="O5" s="17" t="s">
        <v>44</v>
      </c>
      <c r="P5" s="17" t="s">
        <v>45</v>
      </c>
      <c r="Q5" s="17" t="s">
        <v>46</v>
      </c>
      <c r="R5" s="17" t="s">
        <v>47</v>
      </c>
      <c r="S5" s="17" t="s">
        <v>48</v>
      </c>
      <c r="T5" s="17" t="s">
        <v>49</v>
      </c>
    </row>
    <row r="6" spans="1:27" ht="23" thickBot="1">
      <c r="A6" t="s">
        <v>166</v>
      </c>
      <c r="B6">
        <v>124.35</v>
      </c>
      <c r="C6">
        <f>I21</f>
        <v>621.80999999999995</v>
      </c>
      <c r="D6">
        <v>75.010000000000005</v>
      </c>
      <c r="E6">
        <v>36.85</v>
      </c>
      <c r="F6">
        <v>1.62</v>
      </c>
      <c r="G6">
        <v>9.9600000000000009</v>
      </c>
      <c r="H6">
        <v>0.91</v>
      </c>
      <c r="N6" s="17">
        <v>2025</v>
      </c>
      <c r="O6" s="17" t="s">
        <v>50</v>
      </c>
      <c r="P6" s="17" t="s">
        <v>51</v>
      </c>
      <c r="Q6" s="17" t="s">
        <v>52</v>
      </c>
      <c r="R6" s="17" t="s">
        <v>53</v>
      </c>
      <c r="S6" s="17" t="s">
        <v>54</v>
      </c>
      <c r="T6" s="17" t="s">
        <v>55</v>
      </c>
    </row>
    <row r="7" spans="1:27" ht="23" thickBot="1">
      <c r="A7" t="s">
        <v>167</v>
      </c>
      <c r="B7">
        <v>285.27</v>
      </c>
      <c r="C7">
        <f>I22</f>
        <v>1269.48</v>
      </c>
      <c r="D7">
        <v>148.82</v>
      </c>
      <c r="E7">
        <v>67.45</v>
      </c>
      <c r="F7">
        <v>3.29</v>
      </c>
      <c r="G7">
        <v>64.099999999999994</v>
      </c>
      <c r="H7">
        <v>1.61</v>
      </c>
      <c r="N7" s="17">
        <v>2025</v>
      </c>
      <c r="O7" s="17" t="s">
        <v>56</v>
      </c>
      <c r="P7" s="17" t="s">
        <v>57</v>
      </c>
      <c r="Q7" s="17" t="s">
        <v>58</v>
      </c>
      <c r="R7" s="17" t="s">
        <v>59</v>
      </c>
      <c r="S7" s="17" t="s">
        <v>60</v>
      </c>
      <c r="T7" s="17" t="s">
        <v>61</v>
      </c>
    </row>
    <row r="8" spans="1:27" ht="23" thickBot="1">
      <c r="A8" t="s">
        <v>168</v>
      </c>
      <c r="B8">
        <v>532.87</v>
      </c>
      <c r="C8">
        <f>I23</f>
        <v>2925.88</v>
      </c>
      <c r="D8">
        <v>301.44</v>
      </c>
      <c r="E8">
        <v>104.48</v>
      </c>
      <c r="F8">
        <v>7.09</v>
      </c>
      <c r="G8">
        <v>117.39</v>
      </c>
      <c r="H8">
        <v>2.4700000000000002</v>
      </c>
      <c r="N8" s="17">
        <v>2024</v>
      </c>
      <c r="O8" s="17" t="s">
        <v>62</v>
      </c>
      <c r="P8" s="17" t="s">
        <v>63</v>
      </c>
      <c r="Q8" s="17" t="s">
        <v>64</v>
      </c>
      <c r="R8" s="17" t="s">
        <v>65</v>
      </c>
      <c r="S8" s="17" t="s">
        <v>66</v>
      </c>
      <c r="T8" s="17" t="s">
        <v>67</v>
      </c>
    </row>
    <row r="9" spans="1:27" ht="23" thickBot="1">
      <c r="A9" t="s">
        <v>169</v>
      </c>
      <c r="B9">
        <v>408.96</v>
      </c>
      <c r="C9">
        <f>I24</f>
        <v>2476.4899999999998</v>
      </c>
      <c r="D9">
        <v>217.6</v>
      </c>
      <c r="E9">
        <v>71.16</v>
      </c>
      <c r="F9">
        <v>6.1</v>
      </c>
      <c r="G9">
        <v>112.84</v>
      </c>
      <c r="H9">
        <v>1.26</v>
      </c>
      <c r="N9" s="17">
        <v>2024</v>
      </c>
      <c r="O9" s="17" t="s">
        <v>44</v>
      </c>
      <c r="P9" s="17" t="s">
        <v>68</v>
      </c>
      <c r="Q9" s="17" t="s">
        <v>69</v>
      </c>
      <c r="R9" s="17" t="s">
        <v>70</v>
      </c>
      <c r="S9" s="17" t="s">
        <v>71</v>
      </c>
      <c r="T9" s="17" t="s">
        <v>72</v>
      </c>
    </row>
    <row r="10" spans="1:27" ht="23" thickBot="1">
      <c r="A10" t="s">
        <v>170</v>
      </c>
      <c r="B10">
        <v>545.42999999999995</v>
      </c>
      <c r="C10">
        <f>I25</f>
        <v>1912.99</v>
      </c>
      <c r="D10">
        <v>180.04</v>
      </c>
      <c r="E10">
        <v>60.93</v>
      </c>
      <c r="F10">
        <v>5.62</v>
      </c>
      <c r="G10">
        <v>298.04000000000002</v>
      </c>
      <c r="H10">
        <v>0.8</v>
      </c>
      <c r="N10" s="17">
        <v>2024</v>
      </c>
      <c r="O10" s="17" t="s">
        <v>50</v>
      </c>
      <c r="P10" s="17" t="s">
        <v>73</v>
      </c>
      <c r="Q10" s="17" t="s">
        <v>74</v>
      </c>
      <c r="R10" s="17" t="s">
        <v>75</v>
      </c>
      <c r="S10" s="17" t="s">
        <v>76</v>
      </c>
      <c r="T10" s="17" t="s">
        <v>77</v>
      </c>
    </row>
    <row r="11" spans="1:27" ht="23" thickBot="1">
      <c r="A11" t="s">
        <v>171</v>
      </c>
      <c r="B11">
        <v>1335.69</v>
      </c>
      <c r="C11">
        <f>I26</f>
        <v>3612.37</v>
      </c>
      <c r="D11">
        <v>438.33</v>
      </c>
      <c r="E11">
        <v>127.03</v>
      </c>
      <c r="F11">
        <v>13.86</v>
      </c>
      <c r="G11">
        <v>754.45</v>
      </c>
      <c r="H11">
        <v>2.02</v>
      </c>
      <c r="N11" s="17">
        <v>2024</v>
      </c>
      <c r="O11" s="17" t="s">
        <v>56</v>
      </c>
      <c r="P11" s="17" t="s">
        <v>78</v>
      </c>
      <c r="Q11" s="17" t="s">
        <v>79</v>
      </c>
      <c r="R11" s="17" t="s">
        <v>80</v>
      </c>
      <c r="S11" s="17" t="s">
        <v>81</v>
      </c>
      <c r="T11" s="17" t="s">
        <v>82</v>
      </c>
    </row>
    <row r="12" spans="1:27" ht="23" thickBot="1">
      <c r="A12" t="s">
        <v>172</v>
      </c>
      <c r="B12">
        <v>1077.07</v>
      </c>
      <c r="C12">
        <f>I27</f>
        <v>3019.97</v>
      </c>
      <c r="D12">
        <v>387.79</v>
      </c>
      <c r="E12">
        <v>116.14</v>
      </c>
      <c r="F12">
        <v>12.84</v>
      </c>
      <c r="G12">
        <v>559.01</v>
      </c>
      <c r="H12">
        <v>1.29</v>
      </c>
      <c r="N12" s="17">
        <v>2023</v>
      </c>
      <c r="O12" s="17" t="s">
        <v>62</v>
      </c>
      <c r="P12" s="17" t="s">
        <v>83</v>
      </c>
      <c r="Q12" s="17" t="s">
        <v>84</v>
      </c>
      <c r="R12" s="17" t="s">
        <v>85</v>
      </c>
      <c r="S12" s="17" t="s">
        <v>86</v>
      </c>
      <c r="T12" s="17" t="s">
        <v>87</v>
      </c>
    </row>
    <row r="13" spans="1:27" ht="23" thickBot="1">
      <c r="A13" t="s">
        <v>173</v>
      </c>
      <c r="B13">
        <v>549.99</v>
      </c>
      <c r="C13">
        <f>I28</f>
        <v>2193.4499999999998</v>
      </c>
      <c r="D13">
        <v>226.07</v>
      </c>
      <c r="E13">
        <v>94.12</v>
      </c>
      <c r="F13">
        <v>17.91</v>
      </c>
      <c r="G13">
        <v>211.02</v>
      </c>
      <c r="H13">
        <v>0.87</v>
      </c>
      <c r="N13" s="17">
        <v>2023</v>
      </c>
      <c r="O13" s="17" t="s">
        <v>44</v>
      </c>
      <c r="P13" s="17" t="s">
        <v>88</v>
      </c>
      <c r="Q13" s="17" t="s">
        <v>89</v>
      </c>
      <c r="R13" s="17" t="s">
        <v>90</v>
      </c>
      <c r="S13" s="17" t="s">
        <v>91</v>
      </c>
      <c r="T13" s="17" t="s">
        <v>92</v>
      </c>
    </row>
    <row r="14" spans="1:27" ht="23" thickBot="1">
      <c r="A14" t="s">
        <v>174</v>
      </c>
      <c r="B14">
        <v>59.91</v>
      </c>
      <c r="C14">
        <f>I29</f>
        <v>234.94</v>
      </c>
      <c r="D14">
        <v>22.89</v>
      </c>
      <c r="E14">
        <v>12.07</v>
      </c>
      <c r="F14">
        <v>2.85</v>
      </c>
      <c r="G14">
        <v>21.94</v>
      </c>
      <c r="H14">
        <v>0.16</v>
      </c>
      <c r="N14" s="17">
        <v>2023</v>
      </c>
      <c r="O14" s="17" t="s">
        <v>50</v>
      </c>
      <c r="P14" s="17" t="s">
        <v>93</v>
      </c>
      <c r="Q14" s="17" t="s">
        <v>94</v>
      </c>
      <c r="R14" s="17" t="s">
        <v>95</v>
      </c>
      <c r="S14" s="17" t="s">
        <v>96</v>
      </c>
      <c r="T14" s="17" t="s">
        <v>97</v>
      </c>
    </row>
    <row r="15" spans="1:27" ht="23" thickBot="1">
      <c r="A15" t="str">
        <f>_xlfn.CONCAT(N18,O18)</f>
        <v/>
      </c>
      <c r="N15" s="17">
        <v>2023</v>
      </c>
      <c r="O15" s="17" t="s">
        <v>56</v>
      </c>
      <c r="P15" s="17" t="s">
        <v>98</v>
      </c>
      <c r="Q15" s="17" t="s">
        <v>99</v>
      </c>
      <c r="R15" s="17" t="s">
        <v>100</v>
      </c>
      <c r="S15" s="17" t="s">
        <v>101</v>
      </c>
      <c r="T15" s="17" t="s">
        <v>102</v>
      </c>
    </row>
    <row r="16" spans="1:27" ht="23" thickBot="1">
      <c r="A16" t="s">
        <v>160</v>
      </c>
      <c r="D16" t="s">
        <v>1</v>
      </c>
      <c r="E16" t="s">
        <v>4</v>
      </c>
      <c r="F16" t="s">
        <v>3</v>
      </c>
      <c r="G16" t="s">
        <v>2</v>
      </c>
      <c r="H16" t="s">
        <v>159</v>
      </c>
      <c r="I16" t="s">
        <v>161</v>
      </c>
      <c r="N16" s="17">
        <v>2022</v>
      </c>
      <c r="O16" s="17" t="s">
        <v>62</v>
      </c>
      <c r="P16" s="17" t="s">
        <v>103</v>
      </c>
      <c r="Q16" s="17" t="s">
        <v>104</v>
      </c>
      <c r="R16" s="17" t="s">
        <v>105</v>
      </c>
      <c r="S16" s="17" t="s">
        <v>106</v>
      </c>
      <c r="T16" s="17" t="s">
        <v>107</v>
      </c>
      <c r="Y16" s="15">
        <v>2025</v>
      </c>
      <c r="Z16" s="15" t="s">
        <v>44</v>
      </c>
      <c r="AA16" s="18">
        <v>315917660</v>
      </c>
    </row>
    <row r="17" spans="1:27" ht="23" thickBot="1">
      <c r="A17" t="s">
        <v>162</v>
      </c>
      <c r="D17">
        <v>1290</v>
      </c>
      <c r="F17">
        <v>39.090000000000003</v>
      </c>
      <c r="G17">
        <v>153.28</v>
      </c>
      <c r="H17">
        <v>11.41</v>
      </c>
      <c r="I17">
        <v>1493.78</v>
      </c>
      <c r="N17" s="17">
        <v>2022</v>
      </c>
      <c r="O17" s="17" t="s">
        <v>44</v>
      </c>
      <c r="P17" s="17" t="s">
        <v>108</v>
      </c>
      <c r="Q17" s="17" t="s">
        <v>109</v>
      </c>
      <c r="R17" s="17" t="s">
        <v>110</v>
      </c>
      <c r="S17" s="17" t="s">
        <v>111</v>
      </c>
      <c r="T17" s="17" t="s">
        <v>112</v>
      </c>
      <c r="Y17" s="15">
        <v>2025</v>
      </c>
      <c r="Z17" s="15" t="s">
        <v>50</v>
      </c>
      <c r="AA17" s="18">
        <v>7140327791</v>
      </c>
    </row>
    <row r="18" spans="1:27" ht="15.5" thickBot="1">
      <c r="A18" t="s">
        <v>163</v>
      </c>
      <c r="D18">
        <v>1140</v>
      </c>
      <c r="F18">
        <v>43.18</v>
      </c>
      <c r="G18">
        <v>104.06</v>
      </c>
      <c r="H18">
        <v>9.2899999999999991</v>
      </c>
      <c r="I18">
        <v>1296.53</v>
      </c>
      <c r="Y18" s="15">
        <v>2025</v>
      </c>
      <c r="Z18" s="15" t="s">
        <v>56</v>
      </c>
      <c r="AA18" s="18">
        <v>5617226279</v>
      </c>
    </row>
    <row r="19" spans="1:27" ht="23" thickBot="1">
      <c r="A19" t="s">
        <v>164</v>
      </c>
      <c r="D19">
        <v>1520</v>
      </c>
      <c r="F19">
        <v>5.58</v>
      </c>
      <c r="G19">
        <v>130.74</v>
      </c>
      <c r="H19">
        <v>10.41</v>
      </c>
      <c r="I19">
        <v>1666.73</v>
      </c>
      <c r="N19" s="16" t="s">
        <v>42</v>
      </c>
      <c r="O19" s="16" t="s">
        <v>27</v>
      </c>
      <c r="P19" s="16" t="s">
        <v>1</v>
      </c>
      <c r="Q19" s="16" t="s">
        <v>4</v>
      </c>
      <c r="R19" s="16" t="s">
        <v>3</v>
      </c>
      <c r="S19" s="16" t="s">
        <v>2</v>
      </c>
      <c r="T19" s="16" t="s">
        <v>159</v>
      </c>
      <c r="Y19" s="15">
        <v>2024</v>
      </c>
      <c r="Z19" s="15" t="s">
        <v>62</v>
      </c>
      <c r="AA19" s="18">
        <v>6028875927</v>
      </c>
    </row>
    <row r="20" spans="1:27" ht="23" thickBot="1">
      <c r="A20" t="s">
        <v>165</v>
      </c>
      <c r="D20">
        <v>707.51</v>
      </c>
      <c r="F20">
        <v>43.18</v>
      </c>
      <c r="G20">
        <v>92.23</v>
      </c>
      <c r="H20">
        <v>5.98</v>
      </c>
      <c r="I20">
        <v>848.9</v>
      </c>
      <c r="N20" s="17">
        <v>2025</v>
      </c>
      <c r="O20" s="17" t="s">
        <v>44</v>
      </c>
      <c r="P20" s="17" t="s">
        <v>113</v>
      </c>
      <c r="Q20" s="17" t="s">
        <v>114</v>
      </c>
      <c r="R20" s="17" t="s">
        <v>115</v>
      </c>
      <c r="S20" s="17" t="s">
        <v>116</v>
      </c>
      <c r="T20" s="18">
        <v>315917660</v>
      </c>
      <c r="Y20" s="15">
        <v>2024</v>
      </c>
      <c r="Z20" s="15" t="s">
        <v>44</v>
      </c>
      <c r="AA20" s="18">
        <v>3671439063</v>
      </c>
    </row>
    <row r="21" spans="1:27" ht="24.5" customHeight="1" thickBot="1">
      <c r="A21" t="s">
        <v>166</v>
      </c>
      <c r="D21">
        <v>496.23</v>
      </c>
      <c r="F21">
        <v>56.77</v>
      </c>
      <c r="G21">
        <v>67.02</v>
      </c>
      <c r="H21">
        <v>1.79</v>
      </c>
      <c r="I21">
        <v>621.80999999999995</v>
      </c>
      <c r="N21" s="17">
        <v>2025</v>
      </c>
      <c r="O21" s="17" t="s">
        <v>50</v>
      </c>
      <c r="P21" s="17" t="s">
        <v>118</v>
      </c>
      <c r="Q21" s="17" t="s">
        <v>119</v>
      </c>
      <c r="R21" s="17" t="s">
        <v>120</v>
      </c>
      <c r="S21" s="17" t="s">
        <v>121</v>
      </c>
      <c r="T21" s="18">
        <v>7140327791</v>
      </c>
      <c r="Y21" s="15">
        <v>2024</v>
      </c>
      <c r="Z21" s="15" t="s">
        <v>50</v>
      </c>
      <c r="AA21" s="18">
        <v>4505166833</v>
      </c>
    </row>
    <row r="22" spans="1:27" ht="23" thickBot="1">
      <c r="A22" t="s">
        <v>167</v>
      </c>
      <c r="D22">
        <v>893.22</v>
      </c>
      <c r="F22">
        <v>166.51</v>
      </c>
      <c r="G22">
        <v>206.06</v>
      </c>
      <c r="H22">
        <v>3.69</v>
      </c>
      <c r="I22">
        <v>1269.48</v>
      </c>
      <c r="N22" s="17">
        <v>2025</v>
      </c>
      <c r="O22" s="17" t="s">
        <v>56</v>
      </c>
      <c r="P22" s="17" t="s">
        <v>122</v>
      </c>
      <c r="Q22" s="17" t="s">
        <v>123</v>
      </c>
      <c r="R22" s="17" t="s">
        <v>124</v>
      </c>
      <c r="S22" s="17" t="s">
        <v>125</v>
      </c>
      <c r="T22" s="18">
        <v>5617226279</v>
      </c>
      <c r="Y22" s="15">
        <v>2024</v>
      </c>
      <c r="Z22" s="15" t="s">
        <v>56</v>
      </c>
      <c r="AA22" s="18">
        <v>5924476842</v>
      </c>
    </row>
    <row r="23" spans="1:27" ht="23" thickBot="1">
      <c r="A23" t="s">
        <v>168</v>
      </c>
      <c r="D23">
        <v>2070</v>
      </c>
      <c r="E23">
        <v>110.26</v>
      </c>
      <c r="F23">
        <v>358.21</v>
      </c>
      <c r="G23">
        <v>381.49</v>
      </c>
      <c r="H23">
        <v>5.92</v>
      </c>
      <c r="I23">
        <v>2925.88</v>
      </c>
      <c r="N23" s="17">
        <v>2024</v>
      </c>
      <c r="O23" s="17" t="s">
        <v>62</v>
      </c>
      <c r="P23" s="17" t="s">
        <v>126</v>
      </c>
      <c r="Q23" s="17" t="s">
        <v>127</v>
      </c>
      <c r="R23" s="17" t="s">
        <v>128</v>
      </c>
      <c r="S23" s="17" t="s">
        <v>129</v>
      </c>
      <c r="T23" s="18">
        <v>6028875927</v>
      </c>
      <c r="Y23" s="15">
        <v>2023</v>
      </c>
      <c r="Z23" s="15" t="s">
        <v>62</v>
      </c>
      <c r="AA23" s="18">
        <v>3691266344</v>
      </c>
    </row>
    <row r="24" spans="1:27" ht="23" thickBot="1">
      <c r="A24" t="s">
        <v>169</v>
      </c>
      <c r="D24">
        <v>1650</v>
      </c>
      <c r="E24">
        <v>173.32</v>
      </c>
      <c r="F24">
        <v>365.62</v>
      </c>
      <c r="G24">
        <v>283.04000000000002</v>
      </c>
      <c r="H24">
        <v>4.51</v>
      </c>
      <c r="I24">
        <v>2476.4899999999998</v>
      </c>
      <c r="N24" s="17">
        <v>2024</v>
      </c>
      <c r="O24" s="17" t="s">
        <v>44</v>
      </c>
      <c r="P24" s="17" t="s">
        <v>130</v>
      </c>
      <c r="Q24" s="17" t="s">
        <v>131</v>
      </c>
      <c r="R24" s="17" t="s">
        <v>132</v>
      </c>
      <c r="S24" s="17" t="s">
        <v>133</v>
      </c>
      <c r="T24" s="18">
        <v>3671439063</v>
      </c>
      <c r="Y24" s="15">
        <v>2023</v>
      </c>
      <c r="Z24" s="15" t="s">
        <v>44</v>
      </c>
      <c r="AA24" s="18">
        <v>1785079085</v>
      </c>
    </row>
    <row r="25" spans="1:27" ht="23" thickBot="1">
      <c r="A25" t="s">
        <v>170</v>
      </c>
      <c r="D25">
        <v>1190</v>
      </c>
      <c r="E25">
        <v>134.57</v>
      </c>
      <c r="F25">
        <v>406.66</v>
      </c>
      <c r="G25">
        <v>178.1</v>
      </c>
      <c r="H25">
        <v>3.67</v>
      </c>
      <c r="I25">
        <v>1912.99</v>
      </c>
      <c r="N25" s="17">
        <v>2024</v>
      </c>
      <c r="O25" s="17" t="s">
        <v>50</v>
      </c>
      <c r="P25" s="17" t="s">
        <v>134</v>
      </c>
      <c r="Q25" s="17" t="s">
        <v>135</v>
      </c>
      <c r="R25" s="17" t="s">
        <v>136</v>
      </c>
      <c r="S25" s="17" t="s">
        <v>137</v>
      </c>
      <c r="T25" s="18">
        <v>4505166833</v>
      </c>
      <c r="Y25" s="15">
        <v>2023</v>
      </c>
      <c r="Z25" s="15" t="s">
        <v>50</v>
      </c>
      <c r="AA25" s="18">
        <v>5980989056</v>
      </c>
    </row>
    <row r="26" spans="1:27" ht="23" thickBot="1">
      <c r="A26" t="s">
        <v>171</v>
      </c>
      <c r="D26">
        <v>2350</v>
      </c>
      <c r="E26">
        <v>273.8</v>
      </c>
      <c r="F26">
        <v>587.57000000000005</v>
      </c>
      <c r="G26">
        <v>394.97</v>
      </c>
      <c r="H26">
        <v>6.03</v>
      </c>
      <c r="I26">
        <v>3612.37</v>
      </c>
      <c r="N26" s="17">
        <v>2024</v>
      </c>
      <c r="O26" s="17" t="s">
        <v>56</v>
      </c>
      <c r="P26" s="17" t="s">
        <v>138</v>
      </c>
      <c r="Q26" s="17" t="s">
        <v>139</v>
      </c>
      <c r="R26" s="17" t="s">
        <v>140</v>
      </c>
      <c r="S26" s="17" t="s">
        <v>141</v>
      </c>
      <c r="T26" s="18">
        <v>5924476842</v>
      </c>
      <c r="Y26" s="15">
        <v>2023</v>
      </c>
      <c r="Z26" s="15" t="s">
        <v>56</v>
      </c>
      <c r="AA26" s="18">
        <v>10411706838</v>
      </c>
    </row>
    <row r="27" spans="1:27" ht="23" thickBot="1">
      <c r="A27" t="s">
        <v>172</v>
      </c>
      <c r="D27">
        <v>1990</v>
      </c>
      <c r="E27">
        <v>219.08</v>
      </c>
      <c r="F27">
        <v>477.29</v>
      </c>
      <c r="G27">
        <v>327.98</v>
      </c>
      <c r="H27">
        <v>5.62</v>
      </c>
      <c r="I27">
        <v>3019.97</v>
      </c>
      <c r="N27" s="17">
        <v>2023</v>
      </c>
      <c r="O27" s="17" t="s">
        <v>62</v>
      </c>
      <c r="P27" s="17" t="s">
        <v>142</v>
      </c>
      <c r="Q27" s="17" t="s">
        <v>117</v>
      </c>
      <c r="R27" s="17" t="s">
        <v>143</v>
      </c>
      <c r="S27" s="17" t="s">
        <v>144</v>
      </c>
      <c r="T27" s="18">
        <v>3691266344</v>
      </c>
      <c r="Y27" s="15">
        <v>2022</v>
      </c>
      <c r="Z27" s="15" t="s">
        <v>62</v>
      </c>
      <c r="AA27" s="18">
        <v>9285468873</v>
      </c>
    </row>
    <row r="28" spans="1:27" ht="23" thickBot="1">
      <c r="A28" t="s">
        <v>173</v>
      </c>
      <c r="D28">
        <v>1440</v>
      </c>
      <c r="E28">
        <v>222.05</v>
      </c>
      <c r="F28">
        <v>261.85000000000002</v>
      </c>
      <c r="G28">
        <v>262.41000000000003</v>
      </c>
      <c r="H28">
        <v>7.14</v>
      </c>
      <c r="I28">
        <v>2193.4499999999998</v>
      </c>
      <c r="N28" s="17">
        <v>2023</v>
      </c>
      <c r="O28" s="17" t="s">
        <v>44</v>
      </c>
      <c r="P28" s="17" t="s">
        <v>145</v>
      </c>
      <c r="Q28" s="17" t="s">
        <v>117</v>
      </c>
      <c r="R28" s="17" t="s">
        <v>146</v>
      </c>
      <c r="S28" s="17" t="s">
        <v>147</v>
      </c>
      <c r="T28" s="18">
        <v>1785079085</v>
      </c>
      <c r="Y28" s="15">
        <v>2022</v>
      </c>
      <c r="Z28" s="15" t="s">
        <v>44</v>
      </c>
      <c r="AA28" s="18">
        <v>11408821876</v>
      </c>
    </row>
    <row r="29" spans="1:27" ht="23" thickBot="1">
      <c r="A29" t="s">
        <v>174</v>
      </c>
      <c r="D29">
        <v>168.11</v>
      </c>
      <c r="E29">
        <v>11.25</v>
      </c>
      <c r="F29">
        <v>30.47</v>
      </c>
      <c r="G29">
        <v>24.79</v>
      </c>
      <c r="H29">
        <v>0.32</v>
      </c>
      <c r="I29">
        <v>234.94</v>
      </c>
      <c r="N29" s="17">
        <v>2023</v>
      </c>
      <c r="O29" s="17" t="s">
        <v>50</v>
      </c>
      <c r="P29" s="17" t="s">
        <v>148</v>
      </c>
      <c r="Q29" s="17" t="s">
        <v>117</v>
      </c>
      <c r="R29" s="17" t="s">
        <v>149</v>
      </c>
      <c r="S29" s="17" t="s">
        <v>150</v>
      </c>
      <c r="T29" s="18">
        <v>5980989056</v>
      </c>
    </row>
    <row r="30" spans="1:27" ht="23" thickBot="1">
      <c r="N30" s="17">
        <v>2023</v>
      </c>
      <c r="O30" s="17" t="s">
        <v>56</v>
      </c>
      <c r="P30" s="17" t="s">
        <v>151</v>
      </c>
      <c r="Q30" s="17" t="s">
        <v>117</v>
      </c>
      <c r="R30" s="17" t="s">
        <v>152</v>
      </c>
      <c r="S30" s="17" t="s">
        <v>153</v>
      </c>
      <c r="T30" s="18">
        <v>10411706838</v>
      </c>
    </row>
    <row r="31" spans="1:27" ht="23" thickBot="1">
      <c r="N31" s="17">
        <v>2022</v>
      </c>
      <c r="O31" s="17" t="s">
        <v>62</v>
      </c>
      <c r="P31" s="17" t="s">
        <v>154</v>
      </c>
      <c r="Q31" s="17" t="s">
        <v>117</v>
      </c>
      <c r="R31" s="17" t="s">
        <v>149</v>
      </c>
      <c r="S31" s="17" t="s">
        <v>155</v>
      </c>
      <c r="T31" s="18">
        <v>9285468873</v>
      </c>
    </row>
    <row r="32" spans="1:27" ht="23" thickBot="1">
      <c r="N32" s="17">
        <v>2022</v>
      </c>
      <c r="O32" s="17" t="s">
        <v>44</v>
      </c>
      <c r="P32" s="17" t="s">
        <v>156</v>
      </c>
      <c r="Q32" s="17" t="s">
        <v>117</v>
      </c>
      <c r="R32" s="17" t="s">
        <v>157</v>
      </c>
      <c r="S32" s="17" t="s">
        <v>158</v>
      </c>
      <c r="T32" s="18">
        <v>11408821876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市场更新</vt:lpstr>
      <vt:lpstr>交易总量</vt:lpstr>
      <vt:lpstr>ETFpage (2) Archive</vt:lpstr>
      <vt:lpstr>Sheet8</vt:lpstr>
      <vt:lpstr>ETFpage</vt:lpstr>
      <vt:lpstr>Exchange</vt:lpstr>
      <vt:lpstr>Coinbase price</vt:lpstr>
      <vt:lpstr>Compliance交易所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Lizzie He</dc:creator>
  <cp:keywords/>
  <dc:description/>
  <cp:lastModifiedBy>He, Lizzie</cp:lastModifiedBy>
  <cp:revision/>
  <dcterms:created xsi:type="dcterms:W3CDTF">2025-06-26T00:10:43Z</dcterms:created>
  <dcterms:modified xsi:type="dcterms:W3CDTF">2025-07-12T06:03:41Z</dcterms:modified>
  <cp:category/>
  <cp:contentStatus/>
</cp:coreProperties>
</file>